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979dfc622e108a/_Meus Projetos/_Sala de Situação/AUDSUS/"/>
    </mc:Choice>
  </mc:AlternateContent>
  <xr:revisionPtr revIDLastSave="24" documentId="8_{F4501492-49C9-4CF9-8157-F0DBB6E05F03}" xr6:coauthVersionLast="47" xr6:coauthVersionMax="47" xr10:uidLastSave="{61E8BA5A-CA58-4B4E-A2E7-82F9AA4947F6}"/>
  <bookViews>
    <workbookView xWindow="-98" yWindow="-98" windowWidth="21795" windowHeight="12975" tabRatio="885" activeTab="2" xr2:uid="{C504E0B8-3032-46C3-902B-AB208FED6F1F}"/>
  </bookViews>
  <sheets>
    <sheet name="MAC Hospitalar" sheetId="3" r:id="rId1"/>
    <sheet name="AMB Hospitalar" sheetId="6" r:id="rId2"/>
    <sheet name="FAEC" sheetId="4" r:id="rId3"/>
    <sheet name="INCENTIVOS" sheetId="5" r:id="rId4"/>
    <sheet name="Planilha1" sheetId="1" r:id="rId5"/>
    <sheet name="Planilha2" sheetId="2" r:id="rId6"/>
    <sheet name="Controle.Mensal.AIHs" sheetId="7" r:id="rId7"/>
    <sheet name="Data Sources" sheetId="8" r:id="rId8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4" l="1"/>
  <c r="I23" i="4" s="1"/>
  <c r="G23" i="4"/>
  <c r="F25" i="4"/>
  <c r="D25" i="4"/>
  <c r="F24" i="4"/>
  <c r="E24" i="4"/>
  <c r="D24" i="4"/>
  <c r="H22" i="4"/>
  <c r="I22" i="4" s="1"/>
  <c r="G22" i="4"/>
  <c r="G24" i="4" s="1"/>
  <c r="F8" i="3"/>
  <c r="D8" i="3"/>
  <c r="D42" i="7"/>
  <c r="B41" i="7"/>
  <c r="B40" i="7"/>
  <c r="C40" i="7"/>
  <c r="D40" i="7"/>
  <c r="E40" i="7"/>
  <c r="D28" i="7"/>
  <c r="E28" i="7"/>
  <c r="F28" i="7"/>
  <c r="F40" i="7" s="1"/>
  <c r="G28" i="7"/>
  <c r="D29" i="7"/>
  <c r="E29" i="7"/>
  <c r="F29" i="7"/>
  <c r="G29" i="7"/>
  <c r="D30" i="7"/>
  <c r="E30" i="7"/>
  <c r="F30" i="7"/>
  <c r="G30" i="7"/>
  <c r="G40" i="7" s="1"/>
  <c r="D31" i="7"/>
  <c r="E31" i="7"/>
  <c r="F31" i="7"/>
  <c r="G31" i="7"/>
  <c r="D32" i="7"/>
  <c r="E32" i="7" s="1"/>
  <c r="F32" i="7"/>
  <c r="G32" i="7"/>
  <c r="D33" i="7"/>
  <c r="E34" i="7" s="1"/>
  <c r="E33" i="7"/>
  <c r="F33" i="7"/>
  <c r="G33" i="7"/>
  <c r="D34" i="7"/>
  <c r="F34" i="7"/>
  <c r="G34" i="7"/>
  <c r="D35" i="7"/>
  <c r="E35" i="7"/>
  <c r="F35" i="7"/>
  <c r="G35" i="7"/>
  <c r="D36" i="7"/>
  <c r="E36" i="7"/>
  <c r="F36" i="7"/>
  <c r="G36" i="7"/>
  <c r="D37" i="7"/>
  <c r="E37" i="7"/>
  <c r="F37" i="7"/>
  <c r="G37" i="7"/>
  <c r="D38" i="7"/>
  <c r="E39" i="7" s="1"/>
  <c r="E38" i="7"/>
  <c r="F38" i="7"/>
  <c r="G38" i="7"/>
  <c r="D39" i="7"/>
  <c r="F39" i="7"/>
  <c r="G39" i="7"/>
  <c r="F11" i="3"/>
  <c r="D11" i="3"/>
  <c r="D22" i="7"/>
  <c r="B21" i="7"/>
  <c r="B20" i="7"/>
  <c r="C20" i="7"/>
  <c r="F12" i="7" s="1"/>
  <c r="D20" i="7"/>
  <c r="E20" i="7"/>
  <c r="D8" i="7"/>
  <c r="E8" i="7"/>
  <c r="F8" i="7"/>
  <c r="F20" i="7" s="1"/>
  <c r="G8" i="7"/>
  <c r="G20" i="7" s="1"/>
  <c r="D9" i="7"/>
  <c r="E9" i="7"/>
  <c r="F9" i="7"/>
  <c r="G9" i="7"/>
  <c r="D10" i="7"/>
  <c r="E10" i="7"/>
  <c r="F10" i="7"/>
  <c r="G10" i="7"/>
  <c r="D11" i="7"/>
  <c r="E11" i="7" s="1"/>
  <c r="F11" i="7"/>
  <c r="G11" i="7"/>
  <c r="D12" i="7"/>
  <c r="G12" i="7"/>
  <c r="D13" i="7"/>
  <c r="E14" i="7" s="1"/>
  <c r="E13" i="7"/>
  <c r="F13" i="7"/>
  <c r="G13" i="7"/>
  <c r="D14" i="7"/>
  <c r="F14" i="7"/>
  <c r="G14" i="7"/>
  <c r="D15" i="7"/>
  <c r="E15" i="7"/>
  <c r="F15" i="7"/>
  <c r="G15" i="7"/>
  <c r="D16" i="7"/>
  <c r="E16" i="7"/>
  <c r="F16" i="7"/>
  <c r="G16" i="7"/>
  <c r="D17" i="7"/>
  <c r="E17" i="7"/>
  <c r="F17" i="7"/>
  <c r="G17" i="7"/>
  <c r="D18" i="7"/>
  <c r="E19" i="7" s="1"/>
  <c r="E18" i="7"/>
  <c r="F18" i="7"/>
  <c r="G18" i="7"/>
  <c r="D19" i="7"/>
  <c r="F19" i="7"/>
  <c r="G19" i="7"/>
  <c r="K42" i="6"/>
  <c r="K41" i="6"/>
  <c r="K39" i="6"/>
  <c r="F45" i="6"/>
  <c r="H44" i="6"/>
  <c r="E44" i="6"/>
  <c r="D44" i="6"/>
  <c r="K44" i="6" s="1"/>
  <c r="H43" i="6"/>
  <c r="I43" i="6" s="1"/>
  <c r="G43" i="6"/>
  <c r="H42" i="6"/>
  <c r="I42" i="6" s="1"/>
  <c r="G42" i="6"/>
  <c r="H40" i="6"/>
  <c r="I40" i="6" s="1"/>
  <c r="G40" i="6"/>
  <c r="H39" i="6"/>
  <c r="I39" i="6" s="1"/>
  <c r="G39" i="6"/>
  <c r="H41" i="6"/>
  <c r="I41" i="6" s="1"/>
  <c r="G41" i="6"/>
  <c r="H38" i="6"/>
  <c r="I38" i="6" s="1"/>
  <c r="G38" i="6"/>
  <c r="E42" i="6"/>
  <c r="E41" i="6"/>
  <c r="E39" i="6"/>
  <c r="E38" i="6"/>
  <c r="K38" i="6" s="1"/>
  <c r="G25" i="4" l="1"/>
  <c r="I25" i="4" s="1"/>
  <c r="H24" i="4"/>
  <c r="I24" i="4" s="1"/>
  <c r="E12" i="7"/>
  <c r="D45" i="6"/>
  <c r="I44" i="6"/>
  <c r="G44" i="6"/>
  <c r="E45" i="6"/>
  <c r="G25" i="6"/>
  <c r="H25" i="6"/>
  <c r="I25" i="6" s="1"/>
  <c r="G24" i="6"/>
  <c r="H24" i="6"/>
  <c r="I24" i="6" s="1"/>
  <c r="G23" i="6"/>
  <c r="H23" i="6"/>
  <c r="I23" i="6"/>
  <c r="G22" i="6"/>
  <c r="H22" i="6"/>
  <c r="I22" i="6" s="1"/>
  <c r="G21" i="6"/>
  <c r="H21" i="6"/>
  <c r="I21" i="6" s="1"/>
  <c r="G20" i="6"/>
  <c r="H20" i="6"/>
  <c r="I20" i="6"/>
  <c r="G19" i="6"/>
  <c r="H19" i="6"/>
  <c r="I19" i="6" s="1"/>
  <c r="G18" i="6"/>
  <c r="H18" i="6"/>
  <c r="I18" i="6" s="1"/>
  <c r="G17" i="6"/>
  <c r="H17" i="6"/>
  <c r="I17" i="6" s="1"/>
  <c r="G16" i="6"/>
  <c r="H16" i="6"/>
  <c r="I16" i="6" s="1"/>
  <c r="G15" i="6"/>
  <c r="H15" i="6"/>
  <c r="I15" i="6"/>
  <c r="G14" i="6"/>
  <c r="H14" i="6"/>
  <c r="I14" i="6"/>
  <c r="G13" i="6"/>
  <c r="H13" i="6"/>
  <c r="I13" i="6"/>
  <c r="H6" i="6"/>
  <c r="I6" i="6" s="1"/>
  <c r="G4" i="3"/>
  <c r="H12" i="6"/>
  <c r="I12" i="6" s="1"/>
  <c r="G12" i="6"/>
  <c r="H11" i="6"/>
  <c r="I11" i="6" s="1"/>
  <c r="G11" i="6"/>
  <c r="H10" i="6"/>
  <c r="I10" i="6" s="1"/>
  <c r="G10" i="6"/>
  <c r="H9" i="6"/>
  <c r="I9" i="6" s="1"/>
  <c r="G9" i="6"/>
  <c r="H8" i="6"/>
  <c r="I8" i="6" s="1"/>
  <c r="G8" i="6"/>
  <c r="H7" i="6"/>
  <c r="I7" i="6" s="1"/>
  <c r="G7" i="6"/>
  <c r="H5" i="6"/>
  <c r="I5" i="6" s="1"/>
  <c r="G5" i="6"/>
  <c r="H4" i="6"/>
  <c r="G4" i="6"/>
  <c r="C27" i="5"/>
  <c r="D45" i="5"/>
  <c r="C45" i="5"/>
  <c r="C36" i="5"/>
  <c r="D36" i="5"/>
  <c r="E35" i="5"/>
  <c r="E34" i="5"/>
  <c r="E33" i="5"/>
  <c r="E32" i="5"/>
  <c r="E31" i="5"/>
  <c r="E30" i="5"/>
  <c r="E29" i="5"/>
  <c r="E28" i="5"/>
  <c r="E27" i="5"/>
  <c r="D23" i="5"/>
  <c r="C23" i="5"/>
  <c r="D6" i="5"/>
  <c r="E6" i="5" s="1"/>
  <c r="D5" i="5"/>
  <c r="E5" i="5" s="1"/>
  <c r="E22" i="5"/>
  <c r="E21" i="5"/>
  <c r="E20" i="5"/>
  <c r="E19" i="5"/>
  <c r="E17" i="5"/>
  <c r="E16" i="5"/>
  <c r="E15" i="5"/>
  <c r="E14" i="5"/>
  <c r="C10" i="5"/>
  <c r="D9" i="5"/>
  <c r="E9" i="5" s="1"/>
  <c r="D8" i="5"/>
  <c r="E8" i="5" s="1"/>
  <c r="D7" i="5"/>
  <c r="E7" i="5" s="1"/>
  <c r="D4" i="5"/>
  <c r="H16" i="4"/>
  <c r="F16" i="4"/>
  <c r="E16" i="4"/>
  <c r="D16" i="4"/>
  <c r="F17" i="4"/>
  <c r="D17" i="4"/>
  <c r="H15" i="4"/>
  <c r="I15" i="4" s="1"/>
  <c r="G15" i="4"/>
  <c r="G16" i="4" s="1"/>
  <c r="G17" i="4" s="1"/>
  <c r="D9" i="4"/>
  <c r="F9" i="4"/>
  <c r="E9" i="4"/>
  <c r="H8" i="4"/>
  <c r="I8" i="4" s="1"/>
  <c r="G8" i="4"/>
  <c r="H7" i="4"/>
  <c r="I7" i="4" s="1"/>
  <c r="G7" i="4"/>
  <c r="H6" i="4"/>
  <c r="I6" i="4" s="1"/>
  <c r="G6" i="4"/>
  <c r="H5" i="4"/>
  <c r="I5" i="4" s="1"/>
  <c r="G5" i="4"/>
  <c r="H4" i="4"/>
  <c r="I4" i="4" s="1"/>
  <c r="G4" i="4"/>
  <c r="D13" i="3"/>
  <c r="D14" i="3" s="1"/>
  <c r="E13" i="3"/>
  <c r="F13" i="3"/>
  <c r="H12" i="3"/>
  <c r="I12" i="3" s="1"/>
  <c r="G12" i="3"/>
  <c r="H11" i="3"/>
  <c r="I11" i="3" s="1"/>
  <c r="G11" i="3"/>
  <c r="H10" i="3"/>
  <c r="I10" i="3" s="1"/>
  <c r="G10" i="3"/>
  <c r="H9" i="3"/>
  <c r="I9" i="3" s="1"/>
  <c r="G9" i="3"/>
  <c r="H8" i="3"/>
  <c r="I8" i="3" s="1"/>
  <c r="G8" i="3"/>
  <c r="H7" i="3"/>
  <c r="I7" i="3" s="1"/>
  <c r="G7" i="3"/>
  <c r="H6" i="3"/>
  <c r="I6" i="3" s="1"/>
  <c r="G6" i="3"/>
  <c r="H5" i="3"/>
  <c r="I5" i="3" s="1"/>
  <c r="G5" i="3"/>
  <c r="H4" i="3"/>
  <c r="C244" i="1"/>
  <c r="E244" i="1" s="1"/>
  <c r="F244" i="1" s="1"/>
  <c r="C245" i="1"/>
  <c r="E245" i="1" s="1"/>
  <c r="F245" i="1" s="1"/>
  <c r="D132" i="1"/>
  <c r="F98" i="1"/>
  <c r="G98" i="1" s="1"/>
  <c r="E98" i="1"/>
  <c r="E90" i="1"/>
  <c r="J68" i="1"/>
  <c r="C153" i="1"/>
  <c r="D233" i="1"/>
  <c r="D234" i="1"/>
  <c r="D235" i="1"/>
  <c r="D236" i="1"/>
  <c r="D158" i="1"/>
  <c r="F11" i="1"/>
  <c r="F120" i="1"/>
  <c r="G120" i="1" s="1"/>
  <c r="E120" i="1"/>
  <c r="F112" i="1"/>
  <c r="G112" i="1" s="1"/>
  <c r="F113" i="1"/>
  <c r="G113" i="1" s="1"/>
  <c r="F114" i="1"/>
  <c r="G114" i="1" s="1"/>
  <c r="F115" i="1"/>
  <c r="G115" i="1" s="1"/>
  <c r="F111" i="1"/>
  <c r="G111" i="1" s="1"/>
  <c r="E112" i="1"/>
  <c r="E113" i="1"/>
  <c r="E114" i="1"/>
  <c r="E115" i="1"/>
  <c r="E111" i="1"/>
  <c r="C116" i="1"/>
  <c r="D116" i="1"/>
  <c r="C106" i="1"/>
  <c r="D106" i="1"/>
  <c r="F105" i="1"/>
  <c r="F106" i="1" s="1"/>
  <c r="E105" i="1"/>
  <c r="E106" i="1" s="1"/>
  <c r="F92" i="1"/>
  <c r="G92" i="1" s="1"/>
  <c r="F90" i="1"/>
  <c r="G90" i="1" s="1"/>
  <c r="F89" i="1"/>
  <c r="G89" i="1" s="1"/>
  <c r="E92" i="1"/>
  <c r="E89" i="1"/>
  <c r="C94" i="1"/>
  <c r="B249" i="1"/>
  <c r="C242" i="1"/>
  <c r="D242" i="1" s="1"/>
  <c r="C243" i="1"/>
  <c r="D243" i="1" s="1"/>
  <c r="C246" i="1"/>
  <c r="D246" i="1" s="1"/>
  <c r="C247" i="1"/>
  <c r="D247" i="1" s="1"/>
  <c r="C248" i="1"/>
  <c r="D248" i="1" s="1"/>
  <c r="C241" i="1"/>
  <c r="D241" i="1" s="1"/>
  <c r="F241" i="1"/>
  <c r="F242" i="1"/>
  <c r="F243" i="1"/>
  <c r="F246" i="1"/>
  <c r="F247" i="1"/>
  <c r="F248" i="1"/>
  <c r="H84" i="1"/>
  <c r="H66" i="1"/>
  <c r="F60" i="1"/>
  <c r="E60" i="1"/>
  <c r="F51" i="1"/>
  <c r="G51" i="1" s="1"/>
  <c r="E51" i="1"/>
  <c r="F50" i="1"/>
  <c r="G50" i="1" s="1"/>
  <c r="E50" i="1"/>
  <c r="I16" i="4" l="1"/>
  <c r="I17" i="4"/>
  <c r="F14" i="3"/>
  <c r="H45" i="6"/>
  <c r="G6" i="6"/>
  <c r="G45" i="6" s="1"/>
  <c r="D46" i="6"/>
  <c r="F46" i="6"/>
  <c r="I4" i="6"/>
  <c r="E36" i="5"/>
  <c r="F45" i="5"/>
  <c r="E45" i="5"/>
  <c r="D24" i="5"/>
  <c r="E18" i="5"/>
  <c r="E23" i="5" s="1"/>
  <c r="D10" i="5"/>
  <c r="D11" i="5" s="1"/>
  <c r="E4" i="5"/>
  <c r="E10" i="5" s="1"/>
  <c r="D10" i="4"/>
  <c r="F10" i="4"/>
  <c r="G9" i="4"/>
  <c r="G10" i="4" s="1"/>
  <c r="I10" i="4" s="1"/>
  <c r="H9" i="4"/>
  <c r="I9" i="4" s="1"/>
  <c r="G13" i="3"/>
  <c r="H13" i="3"/>
  <c r="I13" i="3" s="1"/>
  <c r="I4" i="3"/>
  <c r="D244" i="1"/>
  <c r="D245" i="1"/>
  <c r="C232" i="1"/>
  <c r="D232" i="1" s="1"/>
  <c r="E249" i="1"/>
  <c r="E94" i="1"/>
  <c r="C160" i="1" s="1"/>
  <c r="G105" i="1"/>
  <c r="G106" i="1" s="1"/>
  <c r="G116" i="1"/>
  <c r="G121" i="1" s="1"/>
  <c r="F94" i="1"/>
  <c r="F116" i="1"/>
  <c r="E116" i="1"/>
  <c r="E121" i="1" s="1"/>
  <c r="G94" i="1"/>
  <c r="F249" i="1"/>
  <c r="C249" i="1"/>
  <c r="D215" i="1"/>
  <c r="G48" i="1"/>
  <c r="G60" i="1"/>
  <c r="C138" i="1"/>
  <c r="D133" i="1"/>
  <c r="D134" i="1"/>
  <c r="D135" i="1"/>
  <c r="D136" i="1"/>
  <c r="D137" i="1"/>
  <c r="D224" i="1"/>
  <c r="E170" i="1"/>
  <c r="C166" i="1"/>
  <c r="D166" i="1" s="1"/>
  <c r="C167" i="1"/>
  <c r="D167" i="1" s="1"/>
  <c r="C168" i="1"/>
  <c r="D168" i="1" s="1"/>
  <c r="C169" i="1"/>
  <c r="D169" i="1" s="1"/>
  <c r="C165" i="1"/>
  <c r="D165" i="1" s="1"/>
  <c r="F166" i="1"/>
  <c r="F167" i="1"/>
  <c r="F169" i="1"/>
  <c r="F168" i="1"/>
  <c r="D154" i="1"/>
  <c r="D155" i="1"/>
  <c r="D157" i="1"/>
  <c r="D161" i="1"/>
  <c r="D13" i="1"/>
  <c r="F214" i="1"/>
  <c r="G214" i="1" s="1"/>
  <c r="F213" i="1"/>
  <c r="G213" i="1" s="1"/>
  <c r="E214" i="1"/>
  <c r="E213" i="1"/>
  <c r="J79" i="1"/>
  <c r="E55" i="1"/>
  <c r="F55" i="1"/>
  <c r="G55" i="1" s="1"/>
  <c r="G14" i="3" l="1"/>
  <c r="I14" i="3" s="1"/>
  <c r="G46" i="6"/>
  <c r="I46" i="6" s="1"/>
  <c r="I45" i="6"/>
  <c r="D249" i="1"/>
  <c r="E215" i="1"/>
  <c r="F215" i="1"/>
  <c r="C170" i="1"/>
  <c r="F165" i="1"/>
  <c r="F170" i="1" s="1"/>
  <c r="D170" i="1"/>
  <c r="G215" i="1"/>
  <c r="I73" i="1"/>
  <c r="G73" i="1"/>
  <c r="D153" i="1"/>
  <c r="D146" i="1"/>
  <c r="D145" i="1"/>
  <c r="J84" i="1"/>
  <c r="J82" i="1"/>
  <c r="J81" i="1"/>
  <c r="F74" i="1"/>
  <c r="H73" i="1"/>
  <c r="J73" i="1"/>
  <c r="J66" i="1"/>
  <c r="J67" i="1"/>
  <c r="J69" i="1"/>
  <c r="J70" i="1"/>
  <c r="J71" i="1"/>
  <c r="J72" i="1"/>
  <c r="J65" i="1"/>
  <c r="D74" i="1"/>
  <c r="D85" i="1"/>
  <c r="F85" i="1"/>
  <c r="C85" i="1"/>
  <c r="C74" i="1"/>
  <c r="D94" i="1"/>
  <c r="E84" i="1"/>
  <c r="I84" i="1" s="1"/>
  <c r="G79" i="1"/>
  <c r="E78" i="1"/>
  <c r="G78" i="1" s="1"/>
  <c r="H65" i="1"/>
  <c r="E66" i="1"/>
  <c r="G66" i="1" s="1"/>
  <c r="E67" i="1"/>
  <c r="G67" i="1" s="1"/>
  <c r="E68" i="1"/>
  <c r="G68" i="1" s="1"/>
  <c r="E69" i="1"/>
  <c r="G69" i="1" s="1"/>
  <c r="E70" i="1"/>
  <c r="G70" i="1" s="1"/>
  <c r="E71" i="1"/>
  <c r="G71" i="1" s="1"/>
  <c r="E72" i="1"/>
  <c r="G72" i="1" s="1"/>
  <c r="E65" i="1"/>
  <c r="G65" i="1" s="1"/>
  <c r="G82" i="1"/>
  <c r="G81" i="1"/>
  <c r="H82" i="1"/>
  <c r="I82" i="1" s="1"/>
  <c r="H81" i="1"/>
  <c r="I81" i="1" s="1"/>
  <c r="H79" i="1"/>
  <c r="I79" i="1" s="1"/>
  <c r="H78" i="1"/>
  <c r="E48" i="1"/>
  <c r="F47" i="1"/>
  <c r="G47" i="1" s="1"/>
  <c r="E47" i="1"/>
  <c r="F46" i="1"/>
  <c r="G46" i="1" s="1"/>
  <c r="E46" i="1"/>
  <c r="F45" i="1"/>
  <c r="G45" i="1" s="1"/>
  <c r="E45" i="1"/>
  <c r="F44" i="1"/>
  <c r="G44" i="1" s="1"/>
  <c r="E44" i="1"/>
  <c r="F43" i="1"/>
  <c r="G43" i="1" s="1"/>
  <c r="E43" i="1"/>
  <c r="F42" i="1"/>
  <c r="G42" i="1" s="1"/>
  <c r="E42" i="1"/>
  <c r="F41" i="1"/>
  <c r="G41" i="1" s="1"/>
  <c r="E41" i="1"/>
  <c r="F40" i="1"/>
  <c r="G40" i="1" s="1"/>
  <c r="E40" i="1"/>
  <c r="F39" i="1"/>
  <c r="G39" i="1" s="1"/>
  <c r="E39" i="1"/>
  <c r="F38" i="1"/>
  <c r="G38" i="1" s="1"/>
  <c r="E38" i="1"/>
  <c r="F37" i="1"/>
  <c r="G37" i="1" s="1"/>
  <c r="E37" i="1"/>
  <c r="F36" i="1"/>
  <c r="G36" i="1" s="1"/>
  <c r="E36" i="1"/>
  <c r="F35" i="1"/>
  <c r="G35" i="1" s="1"/>
  <c r="E35" i="1"/>
  <c r="F34" i="1"/>
  <c r="G34" i="1" s="1"/>
  <c r="E34" i="1"/>
  <c r="F33" i="1"/>
  <c r="G33" i="1" s="1"/>
  <c r="E33" i="1"/>
  <c r="B170" i="1"/>
  <c r="D61" i="1"/>
  <c r="E28" i="1"/>
  <c r="E29" i="1"/>
  <c r="E30" i="1"/>
  <c r="E31" i="1"/>
  <c r="E32" i="1"/>
  <c r="E49" i="1"/>
  <c r="E52" i="1"/>
  <c r="E56" i="1"/>
  <c r="E57" i="1"/>
  <c r="E58" i="1"/>
  <c r="E59" i="1"/>
  <c r="E53" i="1"/>
  <c r="E54" i="1"/>
  <c r="F54" i="1"/>
  <c r="G54" i="1" s="1"/>
  <c r="F53" i="1"/>
  <c r="G53" i="1" s="1"/>
  <c r="F49" i="1"/>
  <c r="G49" i="1" s="1"/>
  <c r="F52" i="1"/>
  <c r="G52" i="1" s="1"/>
  <c r="F59" i="1"/>
  <c r="G59" i="1" s="1"/>
  <c r="F58" i="1"/>
  <c r="G58" i="1" s="1"/>
  <c r="F57" i="1"/>
  <c r="G57" i="1" s="1"/>
  <c r="F56" i="1"/>
  <c r="G56" i="1" s="1"/>
  <c r="D237" i="1"/>
  <c r="H72" i="1"/>
  <c r="H71" i="1"/>
  <c r="H70" i="1"/>
  <c r="H69" i="1"/>
  <c r="H68" i="1"/>
  <c r="H67" i="1"/>
  <c r="F7" i="2"/>
  <c r="E19" i="2"/>
  <c r="D19" i="2"/>
  <c r="G16" i="2"/>
  <c r="H16" i="2" s="1"/>
  <c r="F16" i="2"/>
  <c r="G15" i="2"/>
  <c r="H15" i="2" s="1"/>
  <c r="F15" i="2"/>
  <c r="G13" i="2"/>
  <c r="G12" i="2"/>
  <c r="H12" i="2" s="1"/>
  <c r="F12" i="2"/>
  <c r="G11" i="2"/>
  <c r="H11" i="2" s="1"/>
  <c r="F11" i="2"/>
  <c r="G10" i="2"/>
  <c r="H10" i="2" s="1"/>
  <c r="F10" i="2"/>
  <c r="G9" i="2"/>
  <c r="H9" i="2" s="1"/>
  <c r="F9" i="2"/>
  <c r="G8" i="2"/>
  <c r="H8" i="2" s="1"/>
  <c r="F8" i="2"/>
  <c r="G7" i="2"/>
  <c r="H7" i="2" s="1"/>
  <c r="G6" i="2"/>
  <c r="H6" i="2" s="1"/>
  <c r="F6" i="2"/>
  <c r="G5" i="2"/>
  <c r="F5" i="2"/>
  <c r="G4" i="2"/>
  <c r="H4" i="2" s="1"/>
  <c r="F4" i="2"/>
  <c r="E4" i="1"/>
  <c r="F4" i="1"/>
  <c r="G4" i="1" s="1"/>
  <c r="E5" i="1"/>
  <c r="F5" i="1"/>
  <c r="G5" i="1" s="1"/>
  <c r="E6" i="1"/>
  <c r="F6" i="1"/>
  <c r="G6" i="1" s="1"/>
  <c r="E7" i="1"/>
  <c r="F7" i="1"/>
  <c r="G7" i="1" s="1"/>
  <c r="E8" i="1"/>
  <c r="F8" i="1"/>
  <c r="G8" i="1" s="1"/>
  <c r="E9" i="1"/>
  <c r="F9" i="1"/>
  <c r="G9" i="1" s="1"/>
  <c r="E10" i="1"/>
  <c r="F10" i="1"/>
  <c r="G10" i="1" s="1"/>
  <c r="E11" i="1"/>
  <c r="G11" i="1"/>
  <c r="E12" i="1"/>
  <c r="F12" i="1"/>
  <c r="G12" i="1" s="1"/>
  <c r="C13" i="1"/>
  <c r="D147" i="1"/>
  <c r="D144" i="1"/>
  <c r="C229" i="1"/>
  <c r="D228" i="1"/>
  <c r="D229" i="1" s="1"/>
  <c r="D225" i="1"/>
  <c r="C225" i="1"/>
  <c r="D138" i="1"/>
  <c r="C150" i="1"/>
  <c r="D142" i="1"/>
  <c r="D143" i="1"/>
  <c r="D148" i="1"/>
  <c r="D149" i="1"/>
  <c r="D141" i="1"/>
  <c r="C215" i="1"/>
  <c r="D209" i="1"/>
  <c r="C209" i="1"/>
  <c r="F208" i="1"/>
  <c r="G208" i="1" s="1"/>
  <c r="E208" i="1"/>
  <c r="F207" i="1"/>
  <c r="G207" i="1" s="1"/>
  <c r="E207" i="1"/>
  <c r="F206" i="1"/>
  <c r="G206" i="1" s="1"/>
  <c r="E206" i="1"/>
  <c r="F205" i="1"/>
  <c r="G205" i="1" s="1"/>
  <c r="E205" i="1"/>
  <c r="F204" i="1"/>
  <c r="G204" i="1" s="1"/>
  <c r="E204" i="1"/>
  <c r="F203" i="1"/>
  <c r="G203" i="1" s="1"/>
  <c r="E203" i="1"/>
  <c r="F202" i="1"/>
  <c r="G202" i="1" s="1"/>
  <c r="E202" i="1"/>
  <c r="F201" i="1"/>
  <c r="G201" i="1" s="1"/>
  <c r="E201" i="1"/>
  <c r="F200" i="1"/>
  <c r="G200" i="1" s="1"/>
  <c r="E200" i="1"/>
  <c r="F199" i="1"/>
  <c r="G199" i="1" s="1"/>
  <c r="E199" i="1"/>
  <c r="F198" i="1"/>
  <c r="G198" i="1" s="1"/>
  <c r="E198" i="1"/>
  <c r="F197" i="1"/>
  <c r="G197" i="1" s="1"/>
  <c r="E197" i="1"/>
  <c r="F196" i="1"/>
  <c r="G196" i="1" s="1"/>
  <c r="E196" i="1"/>
  <c r="F195" i="1"/>
  <c r="G195" i="1" s="1"/>
  <c r="E195" i="1"/>
  <c r="F194" i="1"/>
  <c r="G194" i="1" s="1"/>
  <c r="E194" i="1"/>
  <c r="C61" i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E27" i="1"/>
  <c r="I68" i="1" l="1"/>
  <c r="D159" i="1"/>
  <c r="J74" i="1"/>
  <c r="G74" i="1"/>
  <c r="H74" i="1"/>
  <c r="J78" i="1"/>
  <c r="J85" i="1" s="1"/>
  <c r="E74" i="1"/>
  <c r="I78" i="1"/>
  <c r="G84" i="1"/>
  <c r="G85" i="1" s="1"/>
  <c r="D160" i="1"/>
  <c r="I71" i="1"/>
  <c r="H85" i="1"/>
  <c r="E85" i="1"/>
  <c r="I72" i="1"/>
  <c r="I70" i="1"/>
  <c r="I69" i="1"/>
  <c r="I65" i="1"/>
  <c r="I67" i="1"/>
  <c r="I66" i="1"/>
  <c r="E13" i="1"/>
  <c r="F19" i="2"/>
  <c r="G19" i="2"/>
  <c r="H5" i="2"/>
  <c r="H19" i="2" s="1"/>
  <c r="G13" i="1"/>
  <c r="F13" i="1"/>
  <c r="D150" i="1"/>
  <c r="E61" i="1"/>
  <c r="F61" i="1"/>
  <c r="E209" i="1"/>
  <c r="G209" i="1"/>
  <c r="G61" i="1"/>
  <c r="F209" i="1"/>
  <c r="J86" i="1" l="1"/>
  <c r="C156" i="1" s="1"/>
  <c r="D156" i="1" s="1"/>
  <c r="I74" i="1"/>
  <c r="I85" i="1"/>
  <c r="C162" i="1" l="1"/>
  <c r="D162" i="1"/>
  <c r="C23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R. Ritta</author>
  </authors>
  <commentList>
    <comment ref="D8" authorId="0" shapeId="0" xr:uid="{67BE1440-5ECC-4161-A9C4-D53B7948A1B9}">
      <text>
        <r>
          <rPr>
            <b/>
            <sz val="9"/>
            <color indexed="81"/>
            <rFont val="Segoe UI"/>
            <charset val="1"/>
          </rPr>
          <t>Henry R. Ritta:</t>
        </r>
        <r>
          <rPr>
            <sz val="9"/>
            <color indexed="81"/>
            <rFont val="Segoe UI"/>
            <charset val="1"/>
          </rPr>
          <t xml:space="preserve">
Média financeira por AIH (ponderada pelo volume) da série mensal de parto e nascimento — aba Controle.Mensal.AIHs, 12 competências (ago/2025 a jul/2026).</t>
        </r>
      </text>
    </comment>
    <comment ref="F8" authorId="0" shapeId="0" xr:uid="{6B1BAB60-D589-48AB-8F34-A81F39638E29}">
      <text>
        <r>
          <rPr>
            <b/>
            <sz val="9"/>
            <color indexed="81"/>
            <rFont val="Segoe UI"/>
            <charset val="1"/>
          </rPr>
          <t>Henry R. Ritta:</t>
        </r>
        <r>
          <rPr>
            <sz val="9"/>
            <color indexed="81"/>
            <rFont val="Segoe UI"/>
            <charset val="1"/>
          </rPr>
          <t xml:space="preserve">
Média mensal de AIHs de parto e nascimento — aba Controle.Mensal.AIHs, 12 competências (ago/2025 a jul/2026).</t>
        </r>
      </text>
    </comment>
    <comment ref="D11" authorId="0" shapeId="0" xr:uid="{EE8A4A33-6C8D-4981-B8D0-DBC469F24607}">
      <text>
        <r>
          <rPr>
            <b/>
            <sz val="9"/>
            <color indexed="81"/>
            <rFont val="Segoe UI"/>
            <charset val="1"/>
          </rPr>
          <t>Média financeira por AIH (ponderada pelo volume) da série mensal de AIHs cirúrgicas gerais — aba Controle.Mensal.AIHs, 12 competências (ago/2025 a jul/2026).</t>
        </r>
      </text>
    </comment>
    <comment ref="F11" authorId="0" shapeId="0" xr:uid="{2549F993-0B88-494C-BEFC-1A1009DF5426}">
      <text>
        <r>
          <rPr>
            <b/>
            <sz val="9"/>
            <color indexed="81"/>
            <rFont val="Segoe UI"/>
            <charset val="1"/>
          </rPr>
          <t>Média mensal de AIHs cirúrgicas gerais — aba Controle.Mensal.AIHs, 12 competências (ago/2025 a jul/2026).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R. Ritta</author>
  </authors>
  <commentList>
    <comment ref="A7" authorId="0" shapeId="0" xr:uid="{E5199721-CCD8-46F2-89D7-7698AFDFBBD4}">
      <text>
        <r>
          <rPr>
            <b/>
            <sz val="9"/>
            <color indexed="81"/>
            <rFont val="Segoe UI"/>
            <charset val="1"/>
          </rPr>
          <t>Henry R. Ritta:</t>
        </r>
        <r>
          <rPr>
            <sz val="9"/>
            <color indexed="81"/>
            <rFont val="Segoe UI"/>
            <charset val="1"/>
          </rPr>
          <t xml:space="preserve">
Source: SIHD2 (relatório LAIH24, grupo Cirúrgico sem traumato e obstétrico, CNES 2248220), 12 linhas, run 2026-09-17. Pasted into chat by user; not run by Claude. Full query on the Data Sources tab.</t>
        </r>
      </text>
    </comment>
    <comment ref="A27" authorId="0" shapeId="0" xr:uid="{8A455EC7-8DC0-489D-A791-EA00E1F86630}">
      <text>
        <r>
          <rPr>
            <b/>
            <sz val="9"/>
            <color indexed="81"/>
            <rFont val="Segoe UI"/>
            <charset val="1"/>
          </rPr>
          <t>Henry R. Ritta:</t>
        </r>
        <r>
          <rPr>
            <sz val="9"/>
            <color indexed="81"/>
            <rFont val="Segoe UI"/>
            <charset val="1"/>
          </rPr>
          <t xml:space="preserve">
Source: SIHD2 (relatório LAIH24, grupo Parto e nascimento - SIGTAP 03.10, CNES 2248220), 12 linhas, run 2026-09-17. Pasted into chat by user; not run by Claude. Full query on the Data Sources tab.</t>
        </r>
      </text>
    </comment>
  </commentList>
</comments>
</file>

<file path=xl/sharedStrings.xml><?xml version="1.0" encoding="utf-8"?>
<sst xmlns="http://schemas.openxmlformats.org/spreadsheetml/2006/main" count="743" uniqueCount="332">
  <si>
    <t>CÓDIGO</t>
  </si>
  <si>
    <t>PROCEDIMENTO</t>
  </si>
  <si>
    <t>CUSTO MÉDIO</t>
  </si>
  <si>
    <t>FISICO MÊS ATUALIZADO</t>
  </si>
  <si>
    <t>VALOR MÊS ATUALIZADO</t>
  </si>
  <si>
    <t>FISICO ANUAL ATUALIZADO</t>
  </si>
  <si>
    <t>VALOR ANUAL ATUALIZADO</t>
  </si>
  <si>
    <t>.03</t>
  </si>
  <si>
    <t>TRATAMENTOS CLÍNICOS</t>
  </si>
  <si>
    <t>.030313</t>
  </si>
  <si>
    <t>CUIDADOS PROLONGADOS (CRÔNICOS)</t>
  </si>
  <si>
    <t>.030317</t>
  </si>
  <si>
    <t>SAÚDE MENTAL(LEITO 87)</t>
  </si>
  <si>
    <t>SAÚDE MENTAL(LEITO 05)</t>
  </si>
  <si>
    <t>.0310</t>
  </si>
  <si>
    <t>PARTO E NASCIMENTO</t>
  </si>
  <si>
    <t>.0411</t>
  </si>
  <si>
    <t>CIRURGIA OBSTÉTRICA</t>
  </si>
  <si>
    <t>.04</t>
  </si>
  <si>
    <t>PROCED. CIRÚRGICO(URG/EMÊRG)</t>
  </si>
  <si>
    <t>PROCEDIMENTO CIRÚRGICO (eletivos SIAEA/GERAL)</t>
  </si>
  <si>
    <t>.0408</t>
  </si>
  <si>
    <t>CIRURG. DO SIST. OSTEOMUSCULAR SIAEA/traumato/ortopedia</t>
  </si>
  <si>
    <t>SUB TOTAL</t>
  </si>
  <si>
    <t>.0201</t>
  </si>
  <si>
    <t>COLETA DE MATERIAL</t>
  </si>
  <si>
    <t>.0202</t>
  </si>
  <si>
    <t>DIAG. EM LABORAT. CLINICO (NEFROLOGIA)</t>
  </si>
  <si>
    <t xml:space="preserve">DIAG. EM LABORAT. CLINICO </t>
  </si>
  <si>
    <t>.0203</t>
  </si>
  <si>
    <t>DIAG. POR ANATOMIA PATOLÓGICA E CITOPATOLOGIA</t>
  </si>
  <si>
    <t>.0204</t>
  </si>
  <si>
    <t>DIAG. EM RADIOLOGIA</t>
  </si>
  <si>
    <t>.0205</t>
  </si>
  <si>
    <t>DIAG. POR ULTRASSONOGRAFIA</t>
  </si>
  <si>
    <t>MAMOGRAFIA UNILATERAL</t>
  </si>
  <si>
    <t>MAMOGRAFIA BILATERAL</t>
  </si>
  <si>
    <t>.0211</t>
  </si>
  <si>
    <t>MÉTODOS DIAG. EM ESPECIALIDADES</t>
  </si>
  <si>
    <t>.0212</t>
  </si>
  <si>
    <t>DIAG. E PROCED. ESPECIAIS EM HEMOT.</t>
  </si>
  <si>
    <t>.0401</t>
  </si>
  <si>
    <t>PEQUENAS CIRURGIAS</t>
  </si>
  <si>
    <t>.0301010048</t>
  </si>
  <si>
    <t>CONSULTA DE PROF. DE NIVEL SUPER.</t>
  </si>
  <si>
    <t>.0301010072</t>
  </si>
  <si>
    <t>CONSULTA MEDICA EM ATENÇÃO ESPEC.(225225)</t>
  </si>
  <si>
    <t>CONSULTA MEDICA EM ATENÇÃO ESPEC.(225155)</t>
  </si>
  <si>
    <t>CONSULTA MEDICA EM ATENÇÃO ESPEC.(225270)</t>
  </si>
  <si>
    <t>CONSULTA MEDICA EM ATENÇÃO ESPEC.(225109)</t>
  </si>
  <si>
    <t>.0301060100</t>
  </si>
  <si>
    <t>.030309</t>
  </si>
  <si>
    <t>Ttº DE DOENÇAS DO SISTEMA OSTEOMUSCULAR</t>
  </si>
  <si>
    <t>ADM. DE MEDIC. NA ATENÇ. ESPE.</t>
  </si>
  <si>
    <t>.0306</t>
  </si>
  <si>
    <t>MEDICINA TRANSFUSIONAL</t>
  </si>
  <si>
    <t>.0401010015</t>
  </si>
  <si>
    <t>CURATIVO GRAU II c/ou s/desbridamento</t>
  </si>
  <si>
    <t>.0206</t>
  </si>
  <si>
    <t>DIAG. POR TOMOGRAFIA COMPUTADORIZADA</t>
  </si>
  <si>
    <t>.0207</t>
  </si>
  <si>
    <t>DIAG. POR RESSONÂNCIA MAGNÉTICA</t>
  </si>
  <si>
    <t>ECOGRAFIA - TRANSTORÁCICA</t>
  </si>
  <si>
    <t>US - OBSTÉTRICA</t>
  </si>
  <si>
    <t>US - OBSTÉTRICA C/DOPLER COLORIDO PULSADO</t>
  </si>
  <si>
    <t>US - PÉLVICA (ginicológica)</t>
  </si>
  <si>
    <t>US - TRANSVAGINAL</t>
  </si>
  <si>
    <t>.0209010037</t>
  </si>
  <si>
    <t>EDA</t>
  </si>
  <si>
    <t>.0209010029</t>
  </si>
  <si>
    <t>COLONOSCOPIA</t>
  </si>
  <si>
    <t>DIAG. EM LABORAT. CLINICO</t>
  </si>
  <si>
    <t>DIAG. EM ULTRASSONOGRAFIA</t>
  </si>
  <si>
    <t>.0301060029</t>
  </si>
  <si>
    <t>ATEND. DE URG C/OBS ATÉ 24 HRS</t>
  </si>
  <si>
    <t>.0301060061</t>
  </si>
  <si>
    <t>ATEND. DE URG. EM ATEN. ESPECIALIZADA</t>
  </si>
  <si>
    <t>ATENDIMENTO ORTOP. COM IMOB</t>
  </si>
  <si>
    <t>.0301100012</t>
  </si>
  <si>
    <t>.0407040196</t>
  </si>
  <si>
    <t>PARACENTESE ABDOMINAL</t>
  </si>
  <si>
    <t>.0412050170</t>
  </si>
  <si>
    <t>TORACOCENTESE/DRENAGEM PLEURAL</t>
  </si>
  <si>
    <t>TOMOGRAFIA</t>
  </si>
  <si>
    <t>RESSONANCIA</t>
  </si>
  <si>
    <t>US - OBSTÉTRICA (MORFOLÓGICA)</t>
  </si>
  <si>
    <t>.0407010254</t>
  </si>
  <si>
    <t>.0407020390</t>
  </si>
  <si>
    <t>FEDERAL</t>
  </si>
  <si>
    <t>MENSAL</t>
  </si>
  <si>
    <t>ANUAL</t>
  </si>
  <si>
    <t>Pré-Fixado Incentivo de Adesão à Contratualização - IAC</t>
  </si>
  <si>
    <t>Pré-Fixado Incentivo de Integração ao SUS - INTEGRASUS</t>
  </si>
  <si>
    <t>MUNICIPAL</t>
  </si>
  <si>
    <t>ESTADUAL</t>
  </si>
  <si>
    <t>Serviços integrados de Atenção Especializada Ambulatorial SIAEA CIRURGIA GERAL</t>
  </si>
  <si>
    <t>Serviços integrados de Atenção Especializada Ambulatorial SIAEA TRAUMATO/ORTOPEDIA</t>
  </si>
  <si>
    <t>Serviço integrados de Atenção Epecializada ambulatorial SIAEA ENDOCRINOLOGIA</t>
  </si>
  <si>
    <t>Maternidade de Risco Habitual</t>
  </si>
  <si>
    <t>Complementação de diárias de UTI - TIPO II - Adulto</t>
  </si>
  <si>
    <t>* O valor relativo do Incentivo plantões Médicos serão repassados conforme tabela abaixo:</t>
  </si>
  <si>
    <t>ESPECIALIDADE</t>
  </si>
  <si>
    <t>HORA MÊS</t>
  </si>
  <si>
    <t>HORAS ANO</t>
  </si>
  <si>
    <t>VALOR MÊS</t>
  </si>
  <si>
    <t>VALOR ANO</t>
  </si>
  <si>
    <t>SUBTOTAL</t>
  </si>
  <si>
    <t>FÍSICO MÊS</t>
  </si>
  <si>
    <t>FINANCEIRO MÊS</t>
  </si>
  <si>
    <t>FÍSICO ANO</t>
  </si>
  <si>
    <t>VALOR</t>
  </si>
  <si>
    <t>.0305010107</t>
  </si>
  <si>
    <t>.0305010093</t>
  </si>
  <si>
    <t>.0305010115</t>
  </si>
  <si>
    <t>Hemodiálise II - no máximo 3 sessões por semana</t>
  </si>
  <si>
    <t>Hemodiálise II - no máximo 1 sessão excepcionalmente</t>
  </si>
  <si>
    <t>Hemodiálise em paciente com sorologia + p/hiv e/ou hep. B e/ou C, máximo 3 sessões por semana</t>
  </si>
  <si>
    <t>.0305010123</t>
  </si>
  <si>
    <t>Hemodiálise II excepcional HIC, HCV, HBSAG ( 1 sessão por semana)</t>
  </si>
  <si>
    <t>.0418</t>
  </si>
  <si>
    <t>Procedimentos cirúrgicos - Tratamento em nefrologia</t>
  </si>
  <si>
    <t>FUNDO DE AÇÕES ESTRATÉGICAS E COMPENSAÇÕES FAEC - NÃO SE APLICA (PÓS - FIXADO)</t>
  </si>
  <si>
    <t>.070210</t>
  </si>
  <si>
    <t>FINANCEIRO ANO</t>
  </si>
  <si>
    <t>Órteses, próteses e materiais especiais - OPM em Nefrologia</t>
  </si>
  <si>
    <t>TOTAL FAEC</t>
  </si>
  <si>
    <t>Enfermaria Clínica de Retaguarda Novos</t>
  </si>
  <si>
    <t>Enfermaria Clínica de Retaguarda Qualificados</t>
  </si>
  <si>
    <t>Unidade de Internação em Cuidados Prolongados ( UCP)</t>
  </si>
  <si>
    <t>Serviço de Verificação de Óbito ( SVO)</t>
  </si>
  <si>
    <t>ANGIOTOMOGRAFIA CORONARIANA</t>
  </si>
  <si>
    <t>HORAS DIAS</t>
  </si>
  <si>
    <t xml:space="preserve">Retirada de Pólipo do tubo digestivo por endoscopia </t>
  </si>
  <si>
    <t>Retirada de corpo estranho/Pólipos do reto/ colo sigmóide</t>
  </si>
  <si>
    <t>Ambulatorio de Especialidade Clínico - Nefrologia</t>
  </si>
  <si>
    <t>Ambulatorio de Especialidade Clínico - Cardiologia</t>
  </si>
  <si>
    <t>.0417010044</t>
  </si>
  <si>
    <t>Anestesia</t>
  </si>
  <si>
    <t>CUSTO MÉDIO/sigtap</t>
  </si>
  <si>
    <t>SIGTAP</t>
  </si>
  <si>
    <t>****</t>
  </si>
  <si>
    <t>CONSULTA MEDICA EM ATENÇÃO ESPEC.(225120)</t>
  </si>
  <si>
    <t>.0211020036</t>
  </si>
  <si>
    <t>.0205010032</t>
  </si>
  <si>
    <t>.0205010024</t>
  </si>
  <si>
    <t>.0211020044</t>
  </si>
  <si>
    <t>.0211020060</t>
  </si>
  <si>
    <t>.0205010040</t>
  </si>
  <si>
    <t>.0210010070</t>
  </si>
  <si>
    <t>.041801</t>
  </si>
  <si>
    <t>.041802</t>
  </si>
  <si>
    <t>.0211020010</t>
  </si>
  <si>
    <t>.0406030030</t>
  </si>
  <si>
    <t>.0406030022</t>
  </si>
  <si>
    <t>INCENTIVOS CONTRATO 0037/2024</t>
  </si>
  <si>
    <t>FUNDO DE AÇÕES ESTRATÉGICAS E COMPENSAÇÕES FAEC - ALTA COMPLEXIDADE ( PÓS - FIXADO) CONTRATO 0037/2024</t>
  </si>
  <si>
    <t>MÉDIA E ALTA COMPLEXIDADE - MAC - PÓS FIXADO CONTRATO 0038/2024</t>
  </si>
  <si>
    <t>INCENTIVOS CONTRATO 0038/2024</t>
  </si>
  <si>
    <t>.0206010001</t>
  </si>
  <si>
    <t xml:space="preserve">RESSONANCIA MAGNETICA </t>
  </si>
  <si>
    <t>TOMOGRAFIA COMPUTADORIZADA</t>
  </si>
  <si>
    <t>ULTRASSONOGRAFIA DOPPLER DE VASOS (AMB.NEFROLOGIA)</t>
  </si>
  <si>
    <t>HOLTER (AMB. CARDIOLOGIA)</t>
  </si>
  <si>
    <t>TESTE DE ESFORÇO/ TESTE ERGOMÉTICO (AMB. CARDIOLOGIA)</t>
  </si>
  <si>
    <t>ACESSOS PARA DIÁLISE (AMB. NEFROLOGIA)</t>
  </si>
  <si>
    <t>INTERVENÇÕES CIRURGICAS EM ACESSOS PARA DIÁLISE (AMB. NEFROLOGIA)</t>
  </si>
  <si>
    <t>CONSULTA MEDICA EM ATENÇÃO ESPEC.(225109)(BPA)</t>
  </si>
  <si>
    <t>MÉDIA E ALTA COMPLEXIDADE - MAC - PÓS FIXADO CONTRATO 0037/2024 (EXAMES DE ALTO CUSTO)</t>
  </si>
  <si>
    <t>MÉDIA E ALTA COMPLEXIDADE - MAC - PÓS FIXADO CONTRATO 0037/2024 (AMBULATÓRIO DE ENDO/COLONOSCOPIA)</t>
  </si>
  <si>
    <t>MÉDIA E ALTA COMPLEXIDADE - MAC - PÓS FIXADO CONTRATO 0037/2024 (HEMODINÂMICA)</t>
  </si>
  <si>
    <t>ELETROCARDIOGRAMA ( AMB. CARDIOLOGIA)</t>
  </si>
  <si>
    <t>ARTERIOGRAFIAS DE MEMBROS - VENOGRAFIAS  (AMB. NEFROLOGIA)</t>
  </si>
  <si>
    <t>SIGTAP/ASPS</t>
  </si>
  <si>
    <t>MÉDIA E ALTA COMPLEXIDADE - MAC - PÓS FIXADO CONTRATO 0037/2024 (VERIFICAÇÃO DE ÓBITOS)</t>
  </si>
  <si>
    <t>ASPS (COMP.MUNICIPAL)</t>
  </si>
  <si>
    <t>ASPS (COMP. MUNICIPAL)</t>
  </si>
  <si>
    <t>TS: Saúde Mental</t>
  </si>
  <si>
    <t>SD: SM em hospital geral</t>
  </si>
  <si>
    <t xml:space="preserve">Sobreaviso obstetrícia </t>
  </si>
  <si>
    <t xml:space="preserve">Sobreaviso traumatologia </t>
  </si>
  <si>
    <t xml:space="preserve">Sobreaviso anestesiologia </t>
  </si>
  <si>
    <t xml:space="preserve">Sobre aviso pediatria - sala de parto </t>
  </si>
  <si>
    <t>DIAGNOSTICO EM RADIOLOGIA (AMB. NEFROLOGIA)</t>
  </si>
  <si>
    <t>ASPS(COMP.MUN/MÊS)</t>
  </si>
  <si>
    <t>US - PÉLVICA (GINECOLÓGICA)</t>
  </si>
  <si>
    <t>TOTAL GERAL ASPS/EXAMES ALTO CUSTO  MUNICIPAL MÊS</t>
  </si>
  <si>
    <t>HORA DIA</t>
  </si>
  <si>
    <t>.0205020046</t>
  </si>
  <si>
    <t>.0205020054</t>
  </si>
  <si>
    <t>ULTRASSONOGRAFIA ABDÔMEN TOTAL (rins e vias urinárias)(AMB.NEFROLOGIA)</t>
  </si>
  <si>
    <t>ULTRASSONOGRAFIA DE VIAS URINÁRIAS (AMB. NEFROLOGIA)</t>
  </si>
  <si>
    <t xml:space="preserve">FISICO MÊS </t>
  </si>
  <si>
    <t xml:space="preserve">VALOR MÊS </t>
  </si>
  <si>
    <t xml:space="preserve">FISICO ANUAL </t>
  </si>
  <si>
    <t xml:space="preserve">VALOR ANUAL </t>
  </si>
  <si>
    <t>* O valor relativo do Incentivo plantões Médicos serão repassados de forma pré- fixada conforme tabela abaixo:</t>
  </si>
  <si>
    <t>ASPS (COMP.MUN/MÊS)</t>
  </si>
  <si>
    <t>**Transporte paciente em UTI móvel c/médico(ida e volta)</t>
  </si>
  <si>
    <t>** se necessário, transporte de UTI.</t>
  </si>
  <si>
    <t xml:space="preserve">Sobreaviso Cir. Geral </t>
  </si>
  <si>
    <t>Médico Clinico Plantonista II PS</t>
  </si>
  <si>
    <t>Reforço Médico de Atendimento Pediátrico PS</t>
  </si>
  <si>
    <t>Sobreaviso Cirurgia Geral PS</t>
  </si>
  <si>
    <t>Sobreaviso Traumato/Ortopedia PS</t>
  </si>
  <si>
    <t>Médico Clinico Plantonista I PS</t>
  </si>
  <si>
    <t>Médico Remoção/Sobreaviso (noite)</t>
  </si>
  <si>
    <t>Médico Remoção/ Plantonista III PS (dia)</t>
  </si>
  <si>
    <t>Médico Coordenador Responsável Técnico PS</t>
  </si>
  <si>
    <t>FINANCIAMENTO MACMÉDIA COMPLEXIDADE - PRÉ FIXADO AMBULATORIO HOSPITALAR CONTRATO Nº0037/2024</t>
  </si>
  <si>
    <r>
      <t xml:space="preserve">CATETERISMO CARDIACO </t>
    </r>
    <r>
      <rPr>
        <b/>
        <sz val="11"/>
        <color theme="1"/>
        <rFont val="Aptos Narrow"/>
        <family val="2"/>
        <scheme val="minor"/>
      </rPr>
      <t>*</t>
    </r>
  </si>
  <si>
    <r>
      <t xml:space="preserve">ANGIOPLASTIA 1 stent </t>
    </r>
    <r>
      <rPr>
        <b/>
        <sz val="11"/>
        <color theme="1"/>
        <rFont val="Aptos Narrow"/>
        <family val="2"/>
        <scheme val="minor"/>
      </rPr>
      <t>*</t>
    </r>
  </si>
  <si>
    <r>
      <t xml:space="preserve">ANGIOPLASTIA 2 stents </t>
    </r>
    <r>
      <rPr>
        <b/>
        <sz val="11"/>
        <color theme="1"/>
        <rFont val="Aptos Narrow"/>
        <family val="2"/>
        <scheme val="minor"/>
      </rPr>
      <t>*</t>
    </r>
  </si>
  <si>
    <r>
      <t xml:space="preserve">Incentivo leitos de Saúde Mental - SHR/CRAC, </t>
    </r>
    <r>
      <rPr>
        <b/>
        <sz val="11"/>
        <color theme="1"/>
        <rFont val="Aptos Narrow"/>
        <family val="2"/>
        <scheme val="minor"/>
      </rPr>
      <t>Portaria nº 148/GM/MS, de 31 de janeiro de 2012/Art.14 Capítulo III</t>
    </r>
  </si>
  <si>
    <r>
      <t xml:space="preserve">Incentivo Plantões médicos </t>
    </r>
    <r>
      <rPr>
        <b/>
        <sz val="11"/>
        <color theme="1"/>
        <rFont val="Aptos Narrow"/>
        <family val="2"/>
        <scheme val="minor"/>
      </rPr>
      <t>(3660horas mês)*</t>
    </r>
  </si>
  <si>
    <r>
      <t xml:space="preserve">Incentivo de complementação a AIH </t>
    </r>
    <r>
      <rPr>
        <b/>
        <sz val="11"/>
        <color theme="1"/>
        <rFont val="Aptos Narrow"/>
        <family val="2"/>
        <scheme val="minor"/>
      </rPr>
      <t>(498 AIHs mês)**</t>
    </r>
  </si>
  <si>
    <r>
      <t>Incentivo de Complementação à diálise</t>
    </r>
    <r>
      <rPr>
        <b/>
        <sz val="11"/>
        <color theme="1"/>
        <rFont val="Aptos Narrow"/>
        <family val="2"/>
        <scheme val="minor"/>
      </rPr>
      <t>***</t>
    </r>
  </si>
  <si>
    <r>
      <t xml:space="preserve">Complemento de exame de alto custo </t>
    </r>
    <r>
      <rPr>
        <b/>
        <sz val="11"/>
        <color theme="1"/>
        <rFont val="Aptos Narrow"/>
        <family val="2"/>
        <scheme val="minor"/>
      </rPr>
      <t>****</t>
    </r>
  </si>
  <si>
    <r>
      <t xml:space="preserve">Incentivo ao curativo </t>
    </r>
    <r>
      <rPr>
        <b/>
        <sz val="11"/>
        <color theme="1"/>
        <rFont val="Aptos Narrow"/>
        <family val="2"/>
        <scheme val="minor"/>
      </rPr>
      <t>(curativos de refêrencia da rede básica)  total de 90 curativos mês</t>
    </r>
  </si>
  <si>
    <r>
      <t xml:space="preserve">Caso Verificado de Óbitos </t>
    </r>
    <r>
      <rPr>
        <b/>
        <sz val="11"/>
        <color theme="1"/>
        <rFont val="Aptos Narrow"/>
        <family val="2"/>
        <scheme val="minor"/>
      </rPr>
      <t>*****(conforme vigésimo termo aditivo)</t>
    </r>
  </si>
  <si>
    <r>
      <t>Serviço de Verificação de òbitos</t>
    </r>
    <r>
      <rPr>
        <b/>
        <sz val="11"/>
        <color theme="1"/>
        <rFont val="Aptos Narrow"/>
        <family val="2"/>
        <scheme val="minor"/>
      </rPr>
      <t>******</t>
    </r>
  </si>
  <si>
    <r>
      <t xml:space="preserve">Serviço de Hemodinâmica </t>
    </r>
    <r>
      <rPr>
        <b/>
        <sz val="11"/>
        <color theme="1"/>
        <rFont val="Aptos Narrow"/>
        <family val="2"/>
        <scheme val="minor"/>
      </rPr>
      <t>*******</t>
    </r>
  </si>
  <si>
    <r>
      <t xml:space="preserve">Incentivo à Unidade Endoscópica </t>
    </r>
    <r>
      <rPr>
        <b/>
        <sz val="11"/>
        <color theme="1"/>
        <rFont val="Aptos Narrow"/>
        <family val="2"/>
        <scheme val="minor"/>
      </rPr>
      <t>********</t>
    </r>
  </si>
  <si>
    <r>
      <t xml:space="preserve">FINANCIAMENTO MAC MÉDIA COMPLEXIDADE - PRÉ FIXADO </t>
    </r>
    <r>
      <rPr>
        <b/>
        <u/>
        <sz val="11"/>
        <color theme="1"/>
        <rFont val="Aptos Narrow"/>
        <family val="2"/>
        <scheme val="minor"/>
      </rPr>
      <t>PRONTO ATENDIMENTO CONTRATO Nº 0038/2024</t>
    </r>
  </si>
  <si>
    <r>
      <t>Porta de Entrada Hospitalar de Urgência - Hospital Geral</t>
    </r>
    <r>
      <rPr>
        <b/>
        <sz val="11"/>
        <color theme="1"/>
        <rFont val="Aptos Narrow"/>
        <family val="2"/>
        <scheme val="minor"/>
      </rPr>
      <t xml:space="preserve"> (Conforme Segundo Termo Aditivo)</t>
    </r>
  </si>
  <si>
    <r>
      <t xml:space="preserve">TS: Porta de Entrada - RUE - Geral II </t>
    </r>
    <r>
      <rPr>
        <b/>
        <sz val="11"/>
        <color theme="1"/>
        <rFont val="Aptos Narrow"/>
        <family val="2"/>
        <scheme val="minor"/>
      </rPr>
      <t>( Conforme Nono Termo Aditivo)</t>
    </r>
  </si>
  <si>
    <r>
      <t xml:space="preserve">Pré - fixado: Incentivo  Plantões Médicos </t>
    </r>
    <r>
      <rPr>
        <b/>
        <sz val="11"/>
        <color theme="1"/>
        <rFont val="Aptos Narrow"/>
        <family val="2"/>
        <scheme val="minor"/>
      </rPr>
      <t>*</t>
    </r>
  </si>
  <si>
    <r>
      <t>Pós - fixado: Incentivo  de Complementação a tabela SIGTAP</t>
    </r>
    <r>
      <rPr>
        <b/>
        <sz val="11"/>
        <color theme="1"/>
        <rFont val="Aptos Narrow"/>
        <family val="2"/>
        <scheme val="minor"/>
      </rPr>
      <t>**</t>
    </r>
  </si>
  <si>
    <r>
      <t xml:space="preserve">Pré - fixado: Incentivo  Coordenação de Enfermagem </t>
    </r>
    <r>
      <rPr>
        <b/>
        <sz val="11"/>
        <color theme="1"/>
        <rFont val="Aptos Narrow"/>
        <family val="2"/>
        <scheme val="minor"/>
      </rPr>
      <t>***</t>
    </r>
    <r>
      <rPr>
        <sz val="11"/>
        <color theme="1"/>
        <rFont val="Aptos Narrow"/>
        <family val="2"/>
        <scheme val="minor"/>
      </rPr>
      <t xml:space="preserve"> ( 44h semanais)</t>
    </r>
  </si>
  <si>
    <r>
      <t xml:space="preserve">Pré - fixado: Incentivo Coordenação Administrativa </t>
    </r>
    <r>
      <rPr>
        <b/>
        <sz val="11"/>
        <color theme="1"/>
        <rFont val="Aptos Narrow"/>
        <family val="2"/>
        <scheme val="minor"/>
      </rPr>
      <t>***</t>
    </r>
    <r>
      <rPr>
        <sz val="11"/>
        <color theme="1"/>
        <rFont val="Aptos Narrow"/>
        <family val="2"/>
        <scheme val="minor"/>
      </rPr>
      <t xml:space="preserve"> (44h semanais)</t>
    </r>
  </si>
  <si>
    <r>
      <t xml:space="preserve">Incentivo ao curativo </t>
    </r>
    <r>
      <rPr>
        <b/>
        <sz val="11"/>
        <color theme="1"/>
        <rFont val="Aptos Narrow"/>
        <family val="2"/>
        <scheme val="minor"/>
      </rPr>
      <t>(curativos de refêrencia da rede básica)  total de 190 curativos mês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****</t>
    </r>
  </si>
  <si>
    <r>
      <t xml:space="preserve">FINANCIAMENTO MAC MÉDIA COMPLEXIDADE HOSPITALAR - PRÉ FIXADO </t>
    </r>
    <r>
      <rPr>
        <b/>
        <u/>
        <sz val="11"/>
        <color theme="1"/>
        <rFont val="Aptos Narrow"/>
        <family val="2"/>
        <scheme val="minor"/>
      </rPr>
      <t xml:space="preserve">AIH CONTRATO Nº 0037/2024 </t>
    </r>
  </si>
  <si>
    <t>ECOCARDIOGRAFIA TRANSESOFÁGICO (AMB.CARDIOLOGIA)</t>
  </si>
  <si>
    <t>ECOCARDIOGRAFIA TRANSTORÁCICO (AMB. CARDIOLOGIA)</t>
  </si>
  <si>
    <t>VALOR POR AIH</t>
  </si>
  <si>
    <t>SÉRIE HISTÓRICA ANUAL ATUALIZADA</t>
  </si>
  <si>
    <t>FINANCEIRO MENSAL ATUALIZADO</t>
  </si>
  <si>
    <t>FINANCEIRO ANUAL ATUALIZADO</t>
  </si>
  <si>
    <t>Aumento:</t>
  </si>
  <si>
    <t>Médio:</t>
  </si>
  <si>
    <t>SÉRIE HISTÓRICA 2026</t>
  </si>
  <si>
    <t>CONTRATO ATUAL</t>
  </si>
  <si>
    <t>SAÚDE MENTAL (LEITO 87)</t>
  </si>
  <si>
    <t>SAÚDE MENTAL (LEITO 05)</t>
  </si>
  <si>
    <t>Incentivo leitos de Saúde Mental - SHR/CRAC, Portaria nº 148/GM/MS, de 31 de janeiro de 2012/Art.14 Capítulo III</t>
  </si>
  <si>
    <t>VALOR DO INCENTIVO ATUAL</t>
  </si>
  <si>
    <t>INCENTIVO 2026 C/ PORTARIA</t>
  </si>
  <si>
    <r>
      <t xml:space="preserve">INCENTIVOS </t>
    </r>
    <r>
      <rPr>
        <b/>
        <sz val="11"/>
        <color rgb="FFFFFF00"/>
        <rFont val="Aptos Narrow"/>
        <family val="2"/>
        <scheme val="minor"/>
      </rPr>
      <t>FEDERAIS</t>
    </r>
  </si>
  <si>
    <r>
      <t xml:space="preserve">INCENTIVOS </t>
    </r>
    <r>
      <rPr>
        <b/>
        <sz val="11"/>
        <color rgb="FFFFFF00"/>
        <rFont val="Aptos Narrow"/>
        <family val="2"/>
        <scheme val="minor"/>
      </rPr>
      <t>ESTADUAIS</t>
    </r>
  </si>
  <si>
    <t>Incentivo Plantões médicos (3660horas mês)*</t>
  </si>
  <si>
    <t>Incentivo de complementação a AIH (498 AIHs mês)**</t>
  </si>
  <si>
    <t>Incentivo de Complementação à diálise***</t>
  </si>
  <si>
    <t>Complemento de exame de alto custo ****</t>
  </si>
  <si>
    <t>Incentivo ao curativo (curativos de refêrencia da rede básica)  total de 90 curativos mês</t>
  </si>
  <si>
    <t>Caso Verificado de Óbitos *****(conforme vigésimo termo aditivo)</t>
  </si>
  <si>
    <t>Serviço de Verificação de òbitos******</t>
  </si>
  <si>
    <t>Serviço de Hemodinâmica *******</t>
  </si>
  <si>
    <t>Incentivo à Unidade Endoscópica ********</t>
  </si>
  <si>
    <r>
      <t xml:space="preserve">DETALHAMENTO INCENTIVOS </t>
    </r>
    <r>
      <rPr>
        <b/>
        <sz val="11"/>
        <color rgb="FFFFFF00"/>
        <rFont val="Aptos Narrow"/>
        <family val="2"/>
        <scheme val="minor"/>
      </rPr>
      <t>MUNICIPAIS</t>
    </r>
  </si>
  <si>
    <t>Horas/Dia</t>
  </si>
  <si>
    <t>Horas/Mês</t>
  </si>
  <si>
    <r>
      <t xml:space="preserve">INCENTIVOS </t>
    </r>
    <r>
      <rPr>
        <b/>
        <sz val="11"/>
        <color rgb="FFFFFF00"/>
        <rFont val="Aptos Narrow"/>
        <family val="2"/>
        <scheme val="minor"/>
      </rPr>
      <t>MUNICIPAIS</t>
    </r>
    <r>
      <rPr>
        <b/>
        <sz val="11"/>
        <color theme="0"/>
        <rFont val="Aptos Narrow"/>
        <family val="2"/>
        <scheme val="minor"/>
      </rPr>
      <t xml:space="preserve"> | CONTRATO 37 - HOSPITALAR</t>
    </r>
  </si>
  <si>
    <t>Sobreaviso Cirurgia Geral  - 50%</t>
  </si>
  <si>
    <t>Sobreaviso Obstetrícia - 100%</t>
  </si>
  <si>
    <t>Sobreaviso traumatologia - 50%</t>
  </si>
  <si>
    <t>Sobreaviso Anestesiologia - 100%</t>
  </si>
  <si>
    <t>Sobreaviso Pediatria - Sala de Parto 50%</t>
  </si>
  <si>
    <t>INCENTIVO 2026</t>
  </si>
  <si>
    <t>VALOR PROCEDIMENTO</t>
  </si>
  <si>
    <t>TTO DE DOENÇAS DO SISTEMA OSTEOMUSCULAR</t>
  </si>
  <si>
    <t>NOVO</t>
  </si>
  <si>
    <t>SÉRIE HISTÓRICA 2026 (jun)</t>
  </si>
  <si>
    <t>CONTROLE MENSAL DE AIHs POR TIPO — CNES 2248220 — SANTA CASA DE MISERICÓRDIA</t>
  </si>
  <si>
    <t>Município 431710 — Santana do Livramento/RS | Gestor M431710001 — Secretaria Municipal de Saúde</t>
  </si>
  <si>
    <t>Fonte: SIHD2 — LAIH24, CNES definitivo.</t>
  </si>
  <si>
    <t>1. AIHs CIRÚRGICAS GERAIS — PRODUÇÃO E FATURAMENTO — SÉRIE MENSAL</t>
  </si>
  <si>
    <t>Grupo: Cirúrgico sem traumato e obstétrico. Valores integralmente em MAC.</t>
  </si>
  <si>
    <t>Competência</t>
  </si>
  <si>
    <t>Qtd. AIHs</t>
  </si>
  <si>
    <t>Valor financeiro (R$)</t>
  </si>
  <si>
    <t>Valor médio por AIH (R$)</t>
  </si>
  <si>
    <t>Var. % do valor médio</t>
  </si>
  <si>
    <t>Part. % no valor total</t>
  </si>
  <si>
    <t>Part. % no volume total</t>
  </si>
  <si>
    <t>Ago/2025</t>
  </si>
  <si>
    <t>Set/2025</t>
  </si>
  <si>
    <t>Out/2025</t>
  </si>
  <si>
    <t>Dez/2025</t>
  </si>
  <si>
    <t>Fev/2026</t>
  </si>
  <si>
    <t>Abr/2026</t>
  </si>
  <si>
    <t>Mai/2026</t>
  </si>
  <si>
    <t>TOTAL (12 comp.)</t>
  </si>
  <si>
    <t>Média mensal de AIHs (12 comp.)</t>
  </si>
  <si>
    <t>Média financeira por AIH (ponderada pelo volume)</t>
  </si>
  <si>
    <t>Média ponderada pelo volume = valor financeiro total / AIHs totais.</t>
  </si>
  <si>
    <t>Nov/2025</t>
  </si>
  <si>
    <t>Jan/2026</t>
  </si>
  <si>
    <t>Mar/2026</t>
  </si>
  <si>
    <t>Jun/2026</t>
  </si>
  <si>
    <t>Jul/2026</t>
  </si>
  <si>
    <t>Written to</t>
  </si>
  <si>
    <t>Source</t>
  </si>
  <si>
    <t>Object</t>
  </si>
  <si>
    <t>Obtained via</t>
  </si>
  <si>
    <t>Query or request</t>
  </si>
  <si>
    <t>Parameters</t>
  </si>
  <si>
    <t>Run at</t>
  </si>
  <si>
    <t>Requested by</t>
  </si>
  <si>
    <t>Row count</t>
  </si>
  <si>
    <t>Changes after retrieval</t>
  </si>
  <si>
    <t>Notes</t>
  </si>
  <si>
    <t>Controle.Mensal.AIHs!A7:G19</t>
  </si>
  <si>
    <t>SIHD2 - Sistema de Informações Hospitalares Descentralizado</t>
  </si>
  <si>
    <t>Relatório LAIH24 - grupo Cirúrgico sem traumato e obstétrico, CNES 2248220 (definitivo)</t>
  </si>
  <si>
    <t>Pasted into chat by user; not run by Claude</t>
  </si>
  <si>
    <t>Série mensal de AIHs cirúrgicas gerais (Qtd. AIHs e valor financeiro) por competência, ago/2025 a jul/2026, CNES 2248220 - Santa Casa de Misericórdia, gestor M431710001</t>
  </si>
  <si>
    <t>Competências ago/2025 a jul/2026; valores integralmente em MAC</t>
  </si>
  <si>
    <t>Thu Sep 17 2026 15:26:02 GMT-0300 (Horário Padrão de Brasília)</t>
  </si>
  <si>
    <t>Henry R. Ritta</t>
  </si>
  <si>
    <t>Valor médio por AIH, variação %, participações % e totais recalculados por fórmula na planilha</t>
  </si>
  <si>
    <t>Detalhe por procedimento da competência 02/2026 (relatório em imagem) usado apenas para conferência: 57 AIHs / R$ 94.020,81</t>
  </si>
  <si>
    <t>2. AIHs PARTO E NASCIMENTO (SIGTAP 03.10) — PRODUÇÃO E FATURAMENTO — SÉRIE MENSAL</t>
  </si>
  <si>
    <t>Grupo: Parto e nascimento (SIGTAP 03.10). Valores integralmente em MAC.</t>
  </si>
  <si>
    <t>Controle.Mensal.AIHs!A27:G39</t>
  </si>
  <si>
    <t>Relatório LAIH24 - grupo Parto e nascimento (SIGTAP 03.10), CNES 2248220 (definitivo)</t>
  </si>
  <si>
    <t>Série mensal de AIHs de parto e nascimento (Qtd. AIHs e valor financeiro) por competência, ago/2025 a jul/2026, CNES 2248220 - Santa Casa de Misericórdia, gestor M431710001</t>
  </si>
  <si>
    <t>Thu Sep 17 2026 15:33:04 GMT-0300 (Horário Padrão de Brasília)</t>
  </si>
  <si>
    <t>Reordenado em ordem cronológica (ago/2025 a jul/2026); valor médio, variação %, participações % e totais recalculados por fórmula</t>
  </si>
  <si>
    <t>FUNDO DE AÇÕES ESTRATÉGICAS E COMPENSAÇÕES FAEC - (PRÉ-FIXADO)</t>
  </si>
  <si>
    <t>.0301130051</t>
  </si>
  <si>
    <t>Acompanhamento MultiP em DRC - Estágio 4 Pré-Diálise</t>
  </si>
  <si>
    <t>Acompanhamento MultiP em DRC - Estágio 5 Pré-Diálise</t>
  </si>
  <si>
    <t>.0301130060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</si>
</sst>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&quot;R$&quot;\ #,##0.00"/>
    <numFmt numFmtId="166" formatCode="[$R$-416]\ #,##0.00"/>
    <numFmt numFmtId="167" formatCode="#,##0.0"/>
    <numFmt numFmtId="168" formatCode="0.0%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theme="2" tint="-0.499984740745262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9"/>
      <color rgb="FFC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z val="13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-0.499984740745262"/>
        <bgColor theme="4" tint="0.79998168889431442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4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499984740745262"/>
        <bgColor theme="4" tint="0.79998168889431442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rgb="FFFF00FF"/>
        <bgColor indexed="64"/>
      </patternFill>
    </fill>
    <fill>
      <patternFill patternType="solid">
        <fgColor rgb="FF8C0E5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FF"/>
        <bgColor theme="4" tint="0.79998168889431442"/>
      </patternFill>
    </fill>
    <fill>
      <patternFill patternType="solid">
        <fgColor rgb="FF7030A0"/>
        <bgColor theme="4" tint="0.79998168889431442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2" tint="-0.249977111117893"/>
        <bgColor theme="4" tint="0.79998168889431442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66">
    <xf numFmtId="0" fontId="0" fillId="0" borderId="0" xfId="0"/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64" fontId="3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164" fontId="5" fillId="9" borderId="2" xfId="0" applyNumberFormat="1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164" fontId="3" fillId="10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164" fontId="3" fillId="11" borderId="2" xfId="0" applyNumberFormat="1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164" fontId="3" fillId="12" borderId="2" xfId="0" applyNumberFormat="1" applyFont="1" applyFill="1" applyBorder="1" applyAlignment="1">
      <alignment horizontal="center"/>
    </xf>
    <xf numFmtId="0" fontId="0" fillId="0" borderId="2" xfId="0" applyBorder="1"/>
    <xf numFmtId="164" fontId="3" fillId="11" borderId="11" xfId="0" applyNumberFormat="1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0" fontId="3" fillId="11" borderId="10" xfId="0" applyFont="1" applyFill="1" applyBorder="1" applyAlignment="1">
      <alignment horizontal="center"/>
    </xf>
    <xf numFmtId="0" fontId="3" fillId="11" borderId="11" xfId="0" applyFont="1" applyFill="1" applyBorder="1" applyAlignment="1">
      <alignment horizontal="center"/>
    </xf>
    <xf numFmtId="164" fontId="3" fillId="11" borderId="8" xfId="0" applyNumberFormat="1" applyFont="1" applyFill="1" applyBorder="1" applyAlignment="1">
      <alignment horizontal="center"/>
    </xf>
    <xf numFmtId="0" fontId="3" fillId="11" borderId="4" xfId="0" applyFont="1" applyFill="1" applyBorder="1" applyAlignment="1">
      <alignment horizontal="center"/>
    </xf>
    <xf numFmtId="0" fontId="3" fillId="11" borderId="26" xfId="0" applyFont="1" applyFill="1" applyBorder="1" applyAlignment="1">
      <alignment horizontal="center"/>
    </xf>
    <xf numFmtId="0" fontId="3" fillId="11" borderId="6" xfId="0" applyFont="1" applyFill="1" applyBorder="1" applyAlignment="1">
      <alignment horizontal="center"/>
    </xf>
    <xf numFmtId="0" fontId="3" fillId="11" borderId="27" xfId="0" applyFont="1" applyFill="1" applyBorder="1" applyAlignment="1">
      <alignment horizontal="center"/>
    </xf>
    <xf numFmtId="0" fontId="5" fillId="9" borderId="11" xfId="0" applyFont="1" applyFill="1" applyBorder="1" applyAlignment="1">
      <alignment horizontal="center"/>
    </xf>
    <xf numFmtId="0" fontId="3" fillId="11" borderId="25" xfId="0" applyFont="1" applyFill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5" fontId="3" fillId="2" borderId="2" xfId="0" applyNumberFormat="1" applyFont="1" applyFill="1" applyBorder="1" applyAlignment="1">
      <alignment horizontal="center"/>
    </xf>
    <xf numFmtId="165" fontId="3" fillId="11" borderId="2" xfId="0" applyNumberFormat="1" applyFont="1" applyFill="1" applyBorder="1" applyAlignment="1">
      <alignment horizontal="center"/>
    </xf>
    <xf numFmtId="165" fontId="3" fillId="12" borderId="2" xfId="0" applyNumberFormat="1" applyFont="1" applyFill="1" applyBorder="1" applyAlignment="1">
      <alignment horizontal="center"/>
    </xf>
    <xf numFmtId="165" fontId="3" fillId="11" borderId="8" xfId="0" applyNumberFormat="1" applyFont="1" applyFill="1" applyBorder="1" applyAlignment="1">
      <alignment horizontal="center"/>
    </xf>
    <xf numFmtId="165" fontId="3" fillId="11" borderId="26" xfId="0" applyNumberFormat="1" applyFont="1" applyFill="1" applyBorder="1" applyAlignment="1">
      <alignment horizontal="center"/>
    </xf>
    <xf numFmtId="165" fontId="3" fillId="11" borderId="6" xfId="0" applyNumberFormat="1" applyFont="1" applyFill="1" applyBorder="1" applyAlignment="1">
      <alignment horizontal="center"/>
    </xf>
    <xf numFmtId="165" fontId="3" fillId="11" borderId="4" xfId="0" applyNumberFormat="1" applyFont="1" applyFill="1" applyBorder="1" applyAlignment="1">
      <alignment horizontal="center"/>
    </xf>
    <xf numFmtId="165" fontId="3" fillId="11" borderId="25" xfId="0" applyNumberFormat="1" applyFont="1" applyFill="1" applyBorder="1" applyAlignment="1">
      <alignment horizontal="center"/>
    </xf>
    <xf numFmtId="165" fontId="5" fillId="9" borderId="11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22" borderId="2" xfId="0" applyFont="1" applyFill="1" applyBorder="1" applyAlignment="1">
      <alignment horizontal="center"/>
    </xf>
    <xf numFmtId="0" fontId="0" fillId="22" borderId="2" xfId="0" applyFill="1" applyBorder="1"/>
    <xf numFmtId="0" fontId="3" fillId="0" borderId="0" xfId="0" applyFont="1"/>
    <xf numFmtId="0" fontId="7" fillId="0" borderId="0" xfId="0" applyFont="1" applyAlignment="1">
      <alignment horizontal="center" vertical="center"/>
    </xf>
    <xf numFmtId="0" fontId="7" fillId="18" borderId="2" xfId="0" applyFont="1" applyFill="1" applyBorder="1" applyAlignment="1">
      <alignment horizontal="center" vertical="center"/>
    </xf>
    <xf numFmtId="0" fontId="7" fillId="18" borderId="2" xfId="0" applyFont="1" applyFill="1" applyBorder="1" applyAlignment="1">
      <alignment horizontal="left" vertical="center"/>
    </xf>
    <xf numFmtId="0" fontId="7" fillId="18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 applyAlignment="1">
      <alignment horizontal="left"/>
    </xf>
    <xf numFmtId="0" fontId="0" fillId="5" borderId="2" xfId="0" applyFill="1" applyBorder="1" applyAlignment="1">
      <alignment horizontal="center"/>
    </xf>
    <xf numFmtId="164" fontId="0" fillId="5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44" fontId="0" fillId="2" borderId="2" xfId="1" applyFont="1" applyFill="1" applyBorder="1" applyAlignment="1">
      <alignment horizontal="left"/>
    </xf>
    <xf numFmtId="0" fontId="0" fillId="7" borderId="2" xfId="0" applyFill="1" applyBorder="1" applyAlignment="1">
      <alignment horizontal="center"/>
    </xf>
    <xf numFmtId="164" fontId="0" fillId="8" borderId="2" xfId="0" applyNumberForma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3" fontId="0" fillId="7" borderId="2" xfId="0" applyNumberFormat="1" applyFill="1" applyBorder="1" applyAlignment="1">
      <alignment horizontal="center"/>
    </xf>
    <xf numFmtId="3" fontId="0" fillId="5" borderId="2" xfId="0" applyNumberForma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9" borderId="2" xfId="0" applyFont="1" applyFill="1" applyBorder="1" applyAlignment="1">
      <alignment horizontal="center"/>
    </xf>
    <xf numFmtId="44" fontId="6" fillId="9" borderId="2" xfId="1" applyFont="1" applyFill="1" applyBorder="1" applyAlignment="1">
      <alignment horizontal="center"/>
    </xf>
    <xf numFmtId="3" fontId="6" fillId="9" borderId="2" xfId="0" applyNumberFormat="1" applyFont="1" applyFill="1" applyBorder="1" applyAlignment="1">
      <alignment horizontal="center"/>
    </xf>
    <xf numFmtId="0" fontId="7" fillId="17" borderId="2" xfId="0" applyFont="1" applyFill="1" applyBorder="1" applyAlignment="1">
      <alignment horizontal="center" vertical="center"/>
    </xf>
    <xf numFmtId="0" fontId="7" fillId="17" borderId="2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/>
    </xf>
    <xf numFmtId="0" fontId="0" fillId="6" borderId="2" xfId="0" applyFill="1" applyBorder="1" applyAlignment="1">
      <alignment horizontal="center"/>
    </xf>
    <xf numFmtId="164" fontId="0" fillId="6" borderId="2" xfId="0" applyNumberForma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11" xfId="0" applyNumberFormat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0" fillId="6" borderId="2" xfId="0" applyFill="1" applyBorder="1" applyAlignment="1">
      <alignment horizontal="center" wrapText="1"/>
    </xf>
    <xf numFmtId="0" fontId="0" fillId="11" borderId="2" xfId="0" applyFill="1" applyBorder="1" applyAlignment="1">
      <alignment horizontal="center"/>
    </xf>
    <xf numFmtId="164" fontId="0" fillId="11" borderId="2" xfId="0" applyNumberFormat="1" applyFill="1" applyBorder="1" applyAlignment="1">
      <alignment horizontal="center"/>
    </xf>
    <xf numFmtId="0" fontId="0" fillId="11" borderId="2" xfId="0" applyFill="1" applyBorder="1" applyAlignment="1">
      <alignment horizontal="center" wrapText="1"/>
    </xf>
    <xf numFmtId="0" fontId="0" fillId="11" borderId="11" xfId="0" applyFill="1" applyBorder="1" applyAlignment="1">
      <alignment horizontal="center"/>
    </xf>
    <xf numFmtId="164" fontId="0" fillId="11" borderId="11" xfId="0" applyNumberFormat="1" applyFill="1" applyBorder="1" applyAlignment="1">
      <alignment horizontal="center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 vertical="center"/>
    </xf>
    <xf numFmtId="0" fontId="7" fillId="21" borderId="2" xfId="0" applyFont="1" applyFill="1" applyBorder="1" applyAlignment="1">
      <alignment horizontal="center" wrapText="1"/>
    </xf>
    <xf numFmtId="0" fontId="5" fillId="21" borderId="2" xfId="0" applyFont="1" applyFill="1" applyBorder="1" applyAlignment="1">
      <alignment horizontal="center" wrapText="1"/>
    </xf>
    <xf numFmtId="0" fontId="0" fillId="6" borderId="2" xfId="0" applyFill="1" applyBorder="1" applyAlignment="1">
      <alignment horizontal="center" shrinkToFit="1"/>
    </xf>
    <xf numFmtId="44" fontId="0" fillId="6" borderId="2" xfId="0" applyNumberFormat="1" applyFill="1" applyBorder="1"/>
    <xf numFmtId="44" fontId="0" fillId="20" borderId="2" xfId="0" applyNumberFormat="1" applyFill="1" applyBorder="1"/>
    <xf numFmtId="0" fontId="6" fillId="3" borderId="10" xfId="0" applyFont="1" applyFill="1" applyBorder="1" applyAlignment="1">
      <alignment horizontal="center" vertical="center" wrapText="1"/>
    </xf>
    <xf numFmtId="44" fontId="6" fillId="4" borderId="10" xfId="0" applyNumberFormat="1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44" fontId="6" fillId="3" borderId="10" xfId="0" applyNumberFormat="1" applyFont="1" applyFill="1" applyBorder="1" applyAlignment="1">
      <alignment horizontal="center" vertical="center" wrapText="1"/>
    </xf>
    <xf numFmtId="44" fontId="5" fillId="21" borderId="2" xfId="0" applyNumberFormat="1" applyFont="1" applyFill="1" applyBorder="1"/>
    <xf numFmtId="44" fontId="0" fillId="0" borderId="2" xfId="0" applyNumberFormat="1" applyBorder="1" applyAlignment="1">
      <alignment horizontal="center"/>
    </xf>
    <xf numFmtId="44" fontId="0" fillId="0" borderId="2" xfId="0" applyNumberFormat="1" applyBorder="1"/>
    <xf numFmtId="0" fontId="0" fillId="10" borderId="2" xfId="0" applyFill="1" applyBorder="1" applyAlignment="1">
      <alignment horizontal="center"/>
    </xf>
    <xf numFmtId="44" fontId="0" fillId="10" borderId="10" xfId="0" applyNumberFormat="1" applyFill="1" applyBorder="1" applyAlignment="1">
      <alignment horizontal="center" vertical="center" wrapText="1"/>
    </xf>
    <xf numFmtId="44" fontId="0" fillId="19" borderId="10" xfId="0" applyNumberFormat="1" applyFill="1" applyBorder="1" applyAlignment="1">
      <alignment horizontal="center" vertical="center" wrapText="1"/>
    </xf>
    <xf numFmtId="44" fontId="0" fillId="11" borderId="2" xfId="0" applyNumberFormat="1" applyFill="1" applyBorder="1" applyAlignment="1">
      <alignment horizontal="center"/>
    </xf>
    <xf numFmtId="164" fontId="0" fillId="20" borderId="2" xfId="0" applyNumberFormat="1" applyFill="1" applyBorder="1" applyAlignment="1">
      <alignment horizontal="center"/>
    </xf>
    <xf numFmtId="44" fontId="0" fillId="11" borderId="2" xfId="0" applyNumberFormat="1" applyFill="1" applyBorder="1"/>
    <xf numFmtId="44" fontId="0" fillId="11" borderId="10" xfId="0" applyNumberFormat="1" applyFill="1" applyBorder="1" applyAlignment="1">
      <alignment horizontal="center" vertical="center" wrapText="1"/>
    </xf>
    <xf numFmtId="44" fontId="0" fillId="12" borderId="10" xfId="0" applyNumberForma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/>
    </xf>
    <xf numFmtId="44" fontId="0" fillId="12" borderId="2" xfId="0" applyNumberFormat="1" applyFill="1" applyBorder="1" applyAlignment="1">
      <alignment horizontal="center"/>
    </xf>
    <xf numFmtId="164" fontId="0" fillId="24" borderId="2" xfId="0" applyNumberFormat="1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44" fontId="0" fillId="12" borderId="10" xfId="0" applyNumberFormat="1" applyFill="1" applyBorder="1" applyAlignment="1">
      <alignment horizontal="center"/>
    </xf>
    <xf numFmtId="164" fontId="0" fillId="24" borderId="10" xfId="0" applyNumberFormat="1" applyFill="1" applyBorder="1" applyAlignment="1">
      <alignment horizontal="center"/>
    </xf>
    <xf numFmtId="44" fontId="0" fillId="11" borderId="10" xfId="0" applyNumberFormat="1" applyFill="1" applyBorder="1"/>
    <xf numFmtId="44" fontId="0" fillId="11" borderId="2" xfId="0" applyNumberFormat="1" applyFill="1" applyBorder="1" applyAlignment="1">
      <alignment horizontal="center" vertical="center" wrapText="1"/>
    </xf>
    <xf numFmtId="44" fontId="0" fillId="12" borderId="2" xfId="0" applyNumberForma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44" fontId="5" fillId="9" borderId="11" xfId="0" applyNumberFormat="1" applyFont="1" applyFill="1" applyBorder="1" applyAlignment="1">
      <alignment horizontal="center"/>
    </xf>
    <xf numFmtId="44" fontId="5" fillId="21" borderId="11" xfId="0" applyNumberFormat="1" applyFont="1" applyFill="1" applyBorder="1" applyAlignment="1">
      <alignment horizontal="center"/>
    </xf>
    <xf numFmtId="0" fontId="5" fillId="21" borderId="2" xfId="0" applyFont="1" applyFill="1" applyBorder="1"/>
    <xf numFmtId="0" fontId="0" fillId="11" borderId="27" xfId="0" applyFill="1" applyBorder="1" applyAlignment="1">
      <alignment horizontal="center"/>
    </xf>
    <xf numFmtId="44" fontId="0" fillId="11" borderId="8" xfId="0" applyNumberFormat="1" applyFill="1" applyBorder="1" applyAlignment="1">
      <alignment horizontal="center"/>
    </xf>
    <xf numFmtId="164" fontId="0" fillId="20" borderId="8" xfId="0" applyNumberFormat="1" applyFill="1" applyBorder="1" applyAlignment="1">
      <alignment horizontal="center"/>
    </xf>
    <xf numFmtId="0" fontId="0" fillId="11" borderId="26" xfId="0" applyFill="1" applyBorder="1" applyAlignment="1">
      <alignment horizontal="center"/>
    </xf>
    <xf numFmtId="44" fontId="0" fillId="11" borderId="26" xfId="0" applyNumberFormat="1" applyFill="1" applyBorder="1" applyAlignment="1">
      <alignment horizontal="center"/>
    </xf>
    <xf numFmtId="44" fontId="0" fillId="11" borderId="10" xfId="0" applyNumberFormat="1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/>
    </xf>
    <xf numFmtId="44" fontId="0" fillId="11" borderId="6" xfId="0" applyNumberFormat="1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44" fontId="0" fillId="11" borderId="4" xfId="0" applyNumberFormat="1" applyFill="1" applyBorder="1" applyAlignment="1">
      <alignment horizontal="center"/>
    </xf>
    <xf numFmtId="0" fontId="0" fillId="11" borderId="25" xfId="0" applyFill="1" applyBorder="1" applyAlignment="1">
      <alignment horizontal="center"/>
    </xf>
    <xf numFmtId="44" fontId="0" fillId="11" borderId="25" xfId="0" applyNumberFormat="1" applyFill="1" applyBorder="1" applyAlignment="1">
      <alignment horizontal="center"/>
    </xf>
    <xf numFmtId="164" fontId="0" fillId="20" borderId="4" xfId="0" applyNumberFormat="1" applyFill="1" applyBorder="1" applyAlignment="1">
      <alignment horizontal="center" vertical="center"/>
    </xf>
    <xf numFmtId="44" fontId="0" fillId="11" borderId="4" xfId="0" applyNumberFormat="1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164" fontId="0" fillId="11" borderId="4" xfId="0" applyNumberFormat="1" applyFill="1" applyBorder="1" applyAlignment="1">
      <alignment horizontal="center" vertical="center"/>
    </xf>
    <xf numFmtId="164" fontId="5" fillId="21" borderId="2" xfId="0" applyNumberFormat="1" applyFont="1" applyFill="1" applyBorder="1"/>
    <xf numFmtId="0" fontId="5" fillId="21" borderId="2" xfId="0" applyFont="1" applyFill="1" applyBorder="1" applyAlignment="1">
      <alignment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5" fillId="0" borderId="0" xfId="0" applyFont="1"/>
    <xf numFmtId="44" fontId="0" fillId="20" borderId="2" xfId="1" applyFont="1" applyFill="1" applyBorder="1" applyAlignment="1">
      <alignment horizontal="left" vertical="center"/>
    </xf>
    <xf numFmtId="164" fontId="0" fillId="11" borderId="27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4" fontId="0" fillId="0" borderId="0" xfId="0" applyNumberFormat="1"/>
    <xf numFmtId="0" fontId="0" fillId="11" borderId="3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44" fontId="0" fillId="0" borderId="0" xfId="1" applyFont="1" applyFill="1" applyBorder="1"/>
    <xf numFmtId="1" fontId="5" fillId="9" borderId="11" xfId="0" applyNumberFormat="1" applyFont="1" applyFill="1" applyBorder="1" applyAlignment="1">
      <alignment horizontal="center"/>
    </xf>
    <xf numFmtId="164" fontId="5" fillId="9" borderId="7" xfId="0" applyNumberFormat="1" applyFont="1" applyFill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0" xfId="0" applyNumberFormat="1" applyFont="1"/>
    <xf numFmtId="44" fontId="5" fillId="0" borderId="0" xfId="0" applyNumberFormat="1" applyFont="1" applyAlignment="1">
      <alignment horizontal="center"/>
    </xf>
    <xf numFmtId="44" fontId="5" fillId="20" borderId="2" xfId="0" applyNumberFormat="1" applyFont="1" applyFill="1" applyBorder="1" applyAlignment="1">
      <alignment horizontal="center"/>
    </xf>
    <xf numFmtId="1" fontId="5" fillId="9" borderId="4" xfId="0" applyNumberFormat="1" applyFont="1" applyFill="1" applyBorder="1" applyAlignment="1">
      <alignment horizontal="center"/>
    </xf>
    <xf numFmtId="44" fontId="5" fillId="9" borderId="4" xfId="0" applyNumberFormat="1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164" fontId="5" fillId="9" borderId="27" xfId="0" applyNumberFormat="1" applyFont="1" applyFill="1" applyBorder="1" applyAlignment="1">
      <alignment horizontal="center"/>
    </xf>
    <xf numFmtId="0" fontId="0" fillId="11" borderId="2" xfId="0" applyFill="1" applyBorder="1" applyAlignment="1">
      <alignment horizontal="center" vertical="center"/>
    </xf>
    <xf numFmtId="44" fontId="0" fillId="11" borderId="2" xfId="0" applyNumberFormat="1" applyFill="1" applyBorder="1" applyAlignment="1">
      <alignment horizontal="center" vertical="center"/>
    </xf>
    <xf numFmtId="164" fontId="0" fillId="11" borderId="2" xfId="0" applyNumberFormat="1" applyFill="1" applyBorder="1" applyAlignment="1">
      <alignment horizontal="center" vertical="center"/>
    </xf>
    <xf numFmtId="164" fontId="0" fillId="0" borderId="0" xfId="0" applyNumberFormat="1"/>
    <xf numFmtId="0" fontId="9" fillId="11" borderId="2" xfId="0" applyFont="1" applyFill="1" applyBorder="1" applyAlignment="1">
      <alignment horizontal="center"/>
    </xf>
    <xf numFmtId="44" fontId="0" fillId="20" borderId="2" xfId="0" applyNumberFormat="1" applyFill="1" applyBorder="1" applyAlignment="1">
      <alignment horizontal="center"/>
    </xf>
    <xf numFmtId="0" fontId="0" fillId="11" borderId="5" xfId="0" applyFill="1" applyBorder="1" applyAlignment="1">
      <alignment horizontal="center" vertical="center"/>
    </xf>
    <xf numFmtId="44" fontId="0" fillId="11" borderId="5" xfId="0" applyNumberFormat="1" applyFill="1" applyBorder="1" applyAlignment="1">
      <alignment horizontal="center" vertical="center"/>
    </xf>
    <xf numFmtId="44" fontId="0" fillId="11" borderId="1" xfId="0" applyNumberFormat="1" applyFill="1" applyBorder="1" applyAlignment="1">
      <alignment horizontal="center"/>
    </xf>
    <xf numFmtId="44" fontId="0" fillId="0" borderId="0" xfId="0" applyNumberFormat="1" applyAlignment="1">
      <alignment horizontal="center"/>
    </xf>
    <xf numFmtId="164" fontId="5" fillId="21" borderId="2" xfId="0" applyNumberFormat="1" applyFont="1" applyFill="1" applyBorder="1" applyAlignment="1">
      <alignment horizontal="center"/>
    </xf>
    <xf numFmtId="44" fontId="5" fillId="9" borderId="2" xfId="0" applyNumberFormat="1" applyFont="1" applyFill="1" applyBorder="1" applyAlignment="1">
      <alignment horizontal="center"/>
    </xf>
    <xf numFmtId="44" fontId="5" fillId="9" borderId="5" xfId="0" applyNumberFormat="1" applyFont="1" applyFill="1" applyBorder="1" applyAlignment="1">
      <alignment horizontal="center"/>
    </xf>
    <xf numFmtId="44" fontId="5" fillId="0" borderId="0" xfId="0" applyNumberFormat="1" applyFont="1"/>
    <xf numFmtId="164" fontId="9" fillId="0" borderId="0" xfId="0" applyNumberFormat="1" applyFont="1" applyAlignment="1">
      <alignment horizontal="center" vertical="center"/>
    </xf>
    <xf numFmtId="44" fontId="9" fillId="0" borderId="0" xfId="0" applyNumberFormat="1" applyFont="1"/>
    <xf numFmtId="0" fontId="9" fillId="17" borderId="2" xfId="0" applyFont="1" applyFill="1" applyBorder="1" applyAlignment="1">
      <alignment horizontal="center"/>
    </xf>
    <xf numFmtId="164" fontId="9" fillId="17" borderId="2" xfId="0" applyNumberFormat="1" applyFont="1" applyFill="1" applyBorder="1" applyAlignment="1">
      <alignment horizontal="center"/>
    </xf>
    <xf numFmtId="0" fontId="8" fillId="6" borderId="2" xfId="0" applyFont="1" applyFill="1" applyBorder="1"/>
    <xf numFmtId="164" fontId="8" fillId="6" borderId="2" xfId="0" applyNumberFormat="1" applyFont="1" applyFill="1" applyBorder="1"/>
    <xf numFmtId="44" fontId="8" fillId="6" borderId="2" xfId="0" applyNumberFormat="1" applyFont="1" applyFill="1" applyBorder="1"/>
    <xf numFmtId="0" fontId="8" fillId="0" borderId="2" xfId="0" applyFont="1" applyBorder="1" applyAlignment="1">
      <alignment horizontal="center"/>
    </xf>
    <xf numFmtId="0" fontId="8" fillId="0" borderId="2" xfId="0" applyFont="1" applyBorder="1"/>
    <xf numFmtId="164" fontId="8" fillId="0" borderId="2" xfId="0" applyNumberFormat="1" applyFont="1" applyBorder="1"/>
    <xf numFmtId="0" fontId="8" fillId="6" borderId="2" xfId="0" applyFont="1" applyFill="1" applyBorder="1" applyAlignment="1">
      <alignment wrapText="1"/>
    </xf>
    <xf numFmtId="0" fontId="8" fillId="6" borderId="10" xfId="0" applyFont="1" applyFill="1" applyBorder="1"/>
    <xf numFmtId="164" fontId="8" fillId="6" borderId="10" xfId="0" applyNumberFormat="1" applyFont="1" applyFill="1" applyBorder="1"/>
    <xf numFmtId="0" fontId="8" fillId="6" borderId="10" xfId="0" applyFont="1" applyFill="1" applyBorder="1" applyAlignment="1">
      <alignment horizontal="center"/>
    </xf>
    <xf numFmtId="44" fontId="8" fillId="6" borderId="10" xfId="0" applyNumberFormat="1" applyFont="1" applyFill="1" applyBorder="1"/>
    <xf numFmtId="0" fontId="8" fillId="0" borderId="7" xfId="0" applyFont="1" applyBorder="1" applyAlignment="1">
      <alignment horizontal="center"/>
    </xf>
    <xf numFmtId="0" fontId="9" fillId="0" borderId="12" xfId="0" applyFont="1" applyBorder="1" applyAlignment="1">
      <alignment horizontal="right"/>
    </xf>
    <xf numFmtId="164" fontId="9" fillId="0" borderId="14" xfId="0" applyNumberFormat="1" applyFont="1" applyBorder="1" applyAlignment="1">
      <alignment horizontal="right"/>
    </xf>
    <xf numFmtId="0" fontId="9" fillId="0" borderId="14" xfId="0" applyFont="1" applyBorder="1" applyAlignment="1">
      <alignment horizontal="center"/>
    </xf>
    <xf numFmtId="44" fontId="9" fillId="0" borderId="14" xfId="0" applyNumberFormat="1" applyFont="1" applyBorder="1" applyAlignment="1">
      <alignment horizontal="center"/>
    </xf>
    <xf numFmtId="44" fontId="9" fillId="0" borderId="15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164" fontId="9" fillId="0" borderId="10" xfId="0" applyNumberFormat="1" applyFont="1" applyBorder="1" applyAlignment="1">
      <alignment horizontal="center"/>
    </xf>
    <xf numFmtId="164" fontId="8" fillId="6" borderId="10" xfId="0" applyNumberFormat="1" applyFont="1" applyFill="1" applyBorder="1" applyAlignment="1">
      <alignment horizontal="center"/>
    </xf>
    <xf numFmtId="0" fontId="8" fillId="6" borderId="27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164" fontId="9" fillId="0" borderId="13" xfId="0" applyNumberFormat="1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164" fontId="9" fillId="0" borderId="28" xfId="0" applyNumberFormat="1" applyFont="1" applyBorder="1" applyAlignment="1">
      <alignment horizontal="center"/>
    </xf>
    <xf numFmtId="0" fontId="9" fillId="0" borderId="0" xfId="0" applyFont="1" applyAlignment="1">
      <alignment horizontal="right"/>
    </xf>
    <xf numFmtId="164" fontId="9" fillId="0" borderId="0" xfId="0" applyNumberFormat="1" applyFont="1" applyAlignment="1">
      <alignment horizontal="center"/>
    </xf>
    <xf numFmtId="0" fontId="8" fillId="0" borderId="0" xfId="0" applyFont="1"/>
    <xf numFmtId="0" fontId="0" fillId="13" borderId="0" xfId="0" applyFill="1"/>
    <xf numFmtId="0" fontId="7" fillId="0" borderId="14" xfId="0" applyFont="1" applyBorder="1"/>
    <xf numFmtId="0" fontId="7" fillId="0" borderId="15" xfId="0" applyFont="1" applyBorder="1"/>
    <xf numFmtId="44" fontId="0" fillId="0" borderId="11" xfId="0" applyNumberFormat="1" applyBorder="1" applyAlignment="1">
      <alignment horizontal="left"/>
    </xf>
    <xf numFmtId="44" fontId="0" fillId="15" borderId="11" xfId="0" applyNumberFormat="1" applyFill="1" applyBorder="1" applyAlignment="1">
      <alignment horizontal="left"/>
    </xf>
    <xf numFmtId="44" fontId="0" fillId="0" borderId="2" xfId="0" applyNumberFormat="1" applyBorder="1" applyAlignment="1">
      <alignment horizontal="left"/>
    </xf>
    <xf numFmtId="44" fontId="0" fillId="15" borderId="10" xfId="0" applyNumberFormat="1" applyFill="1" applyBorder="1" applyAlignment="1">
      <alignment horizontal="left"/>
    </xf>
    <xf numFmtId="44" fontId="7" fillId="23" borderId="15" xfId="0" applyNumberFormat="1" applyFont="1" applyFill="1" applyBorder="1" applyAlignment="1">
      <alignment horizontal="left"/>
    </xf>
    <xf numFmtId="44" fontId="7" fillId="23" borderId="16" xfId="0" applyNumberFormat="1" applyFont="1" applyFill="1" applyBorder="1" applyAlignment="1">
      <alignment horizontal="left"/>
    </xf>
    <xf numFmtId="0" fontId="7" fillId="0" borderId="2" xfId="0" applyFont="1" applyBorder="1"/>
    <xf numFmtId="164" fontId="0" fillId="15" borderId="11" xfId="0" applyNumberFormat="1" applyFill="1" applyBorder="1"/>
    <xf numFmtId="164" fontId="0" fillId="15" borderId="2" xfId="0" applyNumberFormat="1" applyFill="1" applyBorder="1"/>
    <xf numFmtId="164" fontId="0" fillId="16" borderId="2" xfId="0" applyNumberFormat="1" applyFill="1" applyBorder="1"/>
    <xf numFmtId="164" fontId="0" fillId="15" borderId="10" xfId="0" applyNumberFormat="1" applyFill="1" applyBorder="1"/>
    <xf numFmtId="164" fontId="7" fillId="23" borderId="13" xfId="0" applyNumberFormat="1" applyFont="1" applyFill="1" applyBorder="1"/>
    <xf numFmtId="164" fontId="7" fillId="23" borderId="15" xfId="0" applyNumberFormat="1" applyFont="1" applyFill="1" applyBorder="1"/>
    <xf numFmtId="0" fontId="7" fillId="21" borderId="2" xfId="0" applyFont="1" applyFill="1" applyBorder="1"/>
    <xf numFmtId="164" fontId="0" fillId="20" borderId="11" xfId="0" applyNumberFormat="1" applyFill="1" applyBorder="1"/>
    <xf numFmtId="164" fontId="0" fillId="20" borderId="2" xfId="0" applyNumberFormat="1" applyFill="1" applyBorder="1"/>
    <xf numFmtId="164" fontId="7" fillId="21" borderId="23" xfId="0" applyNumberFormat="1" applyFont="1" applyFill="1" applyBorder="1"/>
    <xf numFmtId="164" fontId="7" fillId="21" borderId="24" xfId="0" applyNumberFormat="1" applyFont="1" applyFill="1" applyBorder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164" fontId="0" fillId="0" borderId="2" xfId="1" applyNumberFormat="1" applyFont="1" applyFill="1" applyBorder="1" applyAlignment="1">
      <alignment horizontal="center"/>
    </xf>
    <xf numFmtId="164" fontId="0" fillId="0" borderId="2" xfId="0" applyNumberFormat="1" applyBorder="1" applyAlignment="1">
      <alignment horizontal="left"/>
    </xf>
    <xf numFmtId="0" fontId="7" fillId="0" borderId="2" xfId="0" applyFont="1" applyBorder="1" applyAlignment="1">
      <alignment horizontal="right"/>
    </xf>
    <xf numFmtId="164" fontId="7" fillId="0" borderId="2" xfId="1" applyNumberFormat="1" applyFont="1" applyFill="1" applyBorder="1" applyAlignment="1">
      <alignment horizontal="center"/>
    </xf>
    <xf numFmtId="164" fontId="7" fillId="0" borderId="2" xfId="0" applyNumberFormat="1" applyFont="1" applyBorder="1" applyAlignment="1">
      <alignment horizontal="left"/>
    </xf>
    <xf numFmtId="0" fontId="7" fillId="0" borderId="0" xfId="0" applyFont="1"/>
    <xf numFmtId="164" fontId="7" fillId="0" borderId="0" xfId="0" applyNumberFormat="1" applyFont="1"/>
    <xf numFmtId="164" fontId="7" fillId="0" borderId="0" xfId="0" applyNumberFormat="1" applyFont="1" applyAlignment="1">
      <alignment wrapText="1"/>
    </xf>
    <xf numFmtId="164" fontId="7" fillId="0" borderId="0" xfId="0" applyNumberFormat="1" applyFont="1" applyAlignment="1">
      <alignment horizontal="center"/>
    </xf>
    <xf numFmtId="0" fontId="7" fillId="18" borderId="2" xfId="0" applyFont="1" applyFill="1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/>
    </xf>
    <xf numFmtId="164" fontId="0" fillId="8" borderId="2" xfId="0" applyNumberFormat="1" applyFill="1" applyBorder="1" applyAlignment="1">
      <alignment horizontal="center" vertical="center"/>
    </xf>
    <xf numFmtId="44" fontId="0" fillId="6" borderId="2" xfId="1" applyFont="1" applyFill="1" applyBorder="1" applyAlignment="1">
      <alignment horizontal="center"/>
    </xf>
    <xf numFmtId="44" fontId="0" fillId="0" borderId="2" xfId="1" applyFont="1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44" fontId="5" fillId="14" borderId="2" xfId="1" applyFont="1" applyFill="1" applyBorder="1" applyAlignment="1">
      <alignment horizontal="center"/>
    </xf>
    <xf numFmtId="0" fontId="7" fillId="18" borderId="2" xfId="0" applyFont="1" applyFill="1" applyBorder="1" applyAlignment="1">
      <alignment horizontal="center"/>
    </xf>
    <xf numFmtId="44" fontId="0" fillId="5" borderId="2" xfId="0" applyNumberFormat="1" applyFill="1" applyBorder="1" applyAlignment="1">
      <alignment horizontal="center"/>
    </xf>
    <xf numFmtId="44" fontId="0" fillId="5" borderId="2" xfId="1" applyFont="1" applyFill="1" applyBorder="1" applyAlignment="1">
      <alignment horizontal="center"/>
    </xf>
    <xf numFmtId="44" fontId="0" fillId="0" borderId="0" xfId="1" applyFont="1" applyFill="1" applyBorder="1" applyAlignment="1">
      <alignment horizontal="center"/>
    </xf>
    <xf numFmtId="44" fontId="0" fillId="8" borderId="2" xfId="0" applyNumberFormat="1" applyFill="1" applyBorder="1" applyAlignment="1">
      <alignment horizontal="center"/>
    </xf>
    <xf numFmtId="44" fontId="0" fillId="8" borderId="2" xfId="1" applyFon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5" fillId="9" borderId="2" xfId="1" applyNumberFormat="1" applyFont="1" applyFill="1" applyBorder="1" applyAlignment="1">
      <alignment horizontal="center"/>
    </xf>
    <xf numFmtId="44" fontId="5" fillId="9" borderId="2" xfId="1" applyFont="1" applyFill="1" applyBorder="1" applyAlignment="1">
      <alignment horizontal="center"/>
    </xf>
    <xf numFmtId="44" fontId="6" fillId="0" borderId="0" xfId="1" applyFont="1" applyFill="1" applyBorder="1" applyAlignment="1">
      <alignment horizontal="center"/>
    </xf>
    <xf numFmtId="0" fontId="0" fillId="0" borderId="0" xfId="0" applyAlignment="1">
      <alignment wrapText="1"/>
    </xf>
    <xf numFmtId="164" fontId="0" fillId="15" borderId="2" xfId="0" applyNumberFormat="1" applyFill="1" applyBorder="1" applyAlignment="1">
      <alignment horizontal="left"/>
    </xf>
    <xf numFmtId="165" fontId="0" fillId="15" borderId="2" xfId="0" applyNumberFormat="1" applyFill="1" applyBorder="1" applyAlignment="1">
      <alignment horizontal="left"/>
    </xf>
    <xf numFmtId="164" fontId="7" fillId="23" borderId="15" xfId="0" applyNumberFormat="1" applyFont="1" applyFill="1" applyBorder="1" applyAlignment="1">
      <alignment horizontal="left"/>
    </xf>
    <xf numFmtId="165" fontId="7" fillId="23" borderId="16" xfId="0" applyNumberFormat="1" applyFont="1" applyFill="1" applyBorder="1" applyAlignment="1">
      <alignment horizontal="left"/>
    </xf>
    <xf numFmtId="0" fontId="0" fillId="0" borderId="0" xfId="0" applyAlignment="1">
      <alignment vertical="center" wrapText="1"/>
    </xf>
    <xf numFmtId="164" fontId="0" fillId="0" borderId="2" xfId="0" applyNumberFormat="1" applyBorder="1"/>
    <xf numFmtId="164" fontId="7" fillId="23" borderId="23" xfId="0" applyNumberFormat="1" applyFont="1" applyFill="1" applyBorder="1"/>
    <xf numFmtId="164" fontId="7" fillId="23" borderId="24" xfId="0" applyNumberFormat="1" applyFont="1" applyFill="1" applyBorder="1"/>
    <xf numFmtId="3" fontId="0" fillId="0" borderId="2" xfId="0" applyNumberFormat="1" applyBorder="1" applyAlignment="1">
      <alignment horizontal="center"/>
    </xf>
    <xf numFmtId="164" fontId="7" fillId="23" borderId="2" xfId="1" applyNumberFormat="1" applyFont="1" applyFill="1" applyBorder="1" applyAlignment="1">
      <alignment horizontal="center"/>
    </xf>
    <xf numFmtId="164" fontId="7" fillId="23" borderId="2" xfId="0" applyNumberFormat="1" applyFont="1" applyFill="1" applyBorder="1" applyAlignment="1">
      <alignment horizontal="left"/>
    </xf>
    <xf numFmtId="0" fontId="11" fillId="0" borderId="0" xfId="0" applyFont="1"/>
    <xf numFmtId="0" fontId="0" fillId="16" borderId="0" xfId="0" applyFill="1"/>
    <xf numFmtId="0" fontId="7" fillId="16" borderId="0" xfId="0" applyFont="1" applyFill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 wrapText="1"/>
    </xf>
    <xf numFmtId="1" fontId="0" fillId="0" borderId="2" xfId="1" applyNumberFormat="1" applyFont="1" applyBorder="1" applyAlignment="1">
      <alignment horizontal="center" vertical="center"/>
    </xf>
    <xf numFmtId="1" fontId="0" fillId="26" borderId="2" xfId="1" applyNumberFormat="1" applyFont="1" applyFill="1" applyBorder="1" applyAlignment="1">
      <alignment horizontal="center" vertical="center"/>
    </xf>
    <xf numFmtId="0" fontId="0" fillId="16" borderId="0" xfId="0" applyFill="1" applyAlignment="1">
      <alignment vertical="center"/>
    </xf>
    <xf numFmtId="0" fontId="0" fillId="0" borderId="0" xfId="0" applyAlignment="1">
      <alignment vertical="center"/>
    </xf>
    <xf numFmtId="3" fontId="0" fillId="8" borderId="2" xfId="0" applyNumberFormat="1" applyFill="1" applyBorder="1" applyAlignment="1">
      <alignment horizontal="center"/>
    </xf>
    <xf numFmtId="0" fontId="5" fillId="9" borderId="25" xfId="0" applyFont="1" applyFill="1" applyBorder="1" applyAlignment="1">
      <alignment horizontal="left" vertical="center"/>
    </xf>
    <xf numFmtId="0" fontId="13" fillId="2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vertical="center"/>
    </xf>
    <xf numFmtId="164" fontId="8" fillId="6" borderId="2" xfId="0" applyNumberFormat="1" applyFont="1" applyFill="1" applyBorder="1" applyAlignment="1">
      <alignment vertical="center"/>
    </xf>
    <xf numFmtId="164" fontId="0" fillId="5" borderId="2" xfId="0" applyNumberFormat="1" applyFill="1" applyBorder="1" applyAlignment="1">
      <alignment horizontal="center" vertical="center"/>
    </xf>
    <xf numFmtId="3" fontId="0" fillId="5" borderId="2" xfId="0" applyNumberFormat="1" applyFill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164" fontId="8" fillId="0" borderId="2" xfId="0" applyNumberFormat="1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3" fontId="0" fillId="8" borderId="2" xfId="0" applyNumberFormat="1" applyFill="1" applyBorder="1" applyAlignment="1">
      <alignment horizontal="center" vertical="center"/>
    </xf>
    <xf numFmtId="0" fontId="8" fillId="6" borderId="10" xfId="0" applyFont="1" applyFill="1" applyBorder="1" applyAlignment="1">
      <alignment vertical="center"/>
    </xf>
    <xf numFmtId="164" fontId="8" fillId="6" borderId="10" xfId="0" applyNumberFormat="1" applyFont="1" applyFill="1" applyBorder="1" applyAlignment="1">
      <alignment vertical="center"/>
    </xf>
    <xf numFmtId="0" fontId="14" fillId="6" borderId="2" xfId="0" applyFont="1" applyFill="1" applyBorder="1" applyAlignment="1">
      <alignment vertical="center" wrapText="1"/>
    </xf>
    <xf numFmtId="0" fontId="8" fillId="28" borderId="2" xfId="0" applyFont="1" applyFill="1" applyBorder="1" applyAlignment="1">
      <alignment horizontal="center" vertical="center"/>
    </xf>
    <xf numFmtId="0" fontId="8" fillId="28" borderId="10" xfId="0" applyFont="1" applyFill="1" applyBorder="1" applyAlignment="1">
      <alignment horizontal="center" vertical="center"/>
    </xf>
    <xf numFmtId="2" fontId="0" fillId="27" borderId="2" xfId="0" applyNumberFormat="1" applyFill="1" applyBorder="1" applyAlignment="1">
      <alignment horizontal="center" vertical="center"/>
    </xf>
    <xf numFmtId="2" fontId="0" fillId="29" borderId="2" xfId="0" applyNumberFormat="1" applyFill="1" applyBorder="1" applyAlignment="1">
      <alignment horizontal="center" vertical="center"/>
    </xf>
    <xf numFmtId="2" fontId="0" fillId="16" borderId="2" xfId="0" applyNumberFormat="1" applyFill="1" applyBorder="1" applyAlignment="1">
      <alignment horizontal="center"/>
    </xf>
    <xf numFmtId="2" fontId="0" fillId="26" borderId="2" xfId="0" applyNumberFormat="1" applyFill="1" applyBorder="1" applyAlignment="1">
      <alignment horizontal="center"/>
    </xf>
    <xf numFmtId="0" fontId="8" fillId="16" borderId="0" xfId="0" applyFont="1" applyFill="1" applyAlignment="1">
      <alignment horizontal="center"/>
    </xf>
    <xf numFmtId="0" fontId="9" fillId="16" borderId="0" xfId="0" applyFont="1" applyFill="1" applyAlignment="1">
      <alignment horizontal="right"/>
    </xf>
    <xf numFmtId="164" fontId="9" fillId="16" borderId="0" xfId="0" applyNumberFormat="1" applyFont="1" applyFill="1" applyAlignment="1">
      <alignment horizontal="center"/>
    </xf>
    <xf numFmtId="166" fontId="5" fillId="9" borderId="10" xfId="1" applyNumberFormat="1" applyFont="1" applyFill="1" applyBorder="1" applyAlignment="1">
      <alignment horizontal="center" vertical="center"/>
    </xf>
    <xf numFmtId="3" fontId="5" fillId="9" borderId="10" xfId="0" applyNumberFormat="1" applyFont="1" applyFill="1" applyBorder="1" applyAlignment="1">
      <alignment horizontal="center" vertical="center"/>
    </xf>
    <xf numFmtId="164" fontId="5" fillId="9" borderId="10" xfId="0" applyNumberFormat="1" applyFont="1" applyFill="1" applyBorder="1" applyAlignment="1">
      <alignment horizontal="center" vertical="center"/>
    </xf>
    <xf numFmtId="0" fontId="7" fillId="16" borderId="7" xfId="0" applyFont="1" applyFill="1" applyBorder="1" applyAlignment="1">
      <alignment horizontal="center" vertical="center"/>
    </xf>
    <xf numFmtId="0" fontId="7" fillId="16" borderId="9" xfId="0" applyFont="1" applyFill="1" applyBorder="1" applyAlignment="1">
      <alignment horizontal="center" vertical="center"/>
    </xf>
    <xf numFmtId="166" fontId="12" fillId="16" borderId="9" xfId="0" applyNumberFormat="1" applyFont="1" applyFill="1" applyBorder="1" applyAlignment="1">
      <alignment horizontal="center" vertical="center"/>
    </xf>
    <xf numFmtId="10" fontId="12" fillId="16" borderId="9" xfId="0" applyNumberFormat="1" applyFont="1" applyFill="1" applyBorder="1" applyAlignment="1">
      <alignment horizontal="center" vertical="center"/>
    </xf>
    <xf numFmtId="164" fontId="12" fillId="11" borderId="9" xfId="0" applyNumberFormat="1" applyFont="1" applyFill="1" applyBorder="1" applyAlignment="1">
      <alignment horizontal="center" vertical="center"/>
    </xf>
    <xf numFmtId="164" fontId="12" fillId="16" borderId="8" xfId="0" applyNumberFormat="1" applyFont="1" applyFill="1" applyBorder="1" applyAlignment="1">
      <alignment horizontal="center" vertical="center"/>
    </xf>
    <xf numFmtId="0" fontId="7" fillId="16" borderId="9" xfId="0" applyFont="1" applyFill="1" applyBorder="1" applyAlignment="1">
      <alignment horizontal="right" vertical="center"/>
    </xf>
    <xf numFmtId="44" fontId="12" fillId="16" borderId="9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44" fontId="0" fillId="16" borderId="2" xfId="0" applyNumberFormat="1" applyFill="1" applyBorder="1" applyAlignment="1">
      <alignment horizontal="center"/>
    </xf>
    <xf numFmtId="44" fontId="0" fillId="26" borderId="2" xfId="0" applyNumberFormat="1" applyFill="1" applyBorder="1" applyAlignment="1">
      <alignment horizontal="center"/>
    </xf>
    <xf numFmtId="164" fontId="0" fillId="16" borderId="2" xfId="0" applyNumberFormat="1" applyFill="1" applyBorder="1" applyAlignment="1">
      <alignment horizontal="center"/>
    </xf>
    <xf numFmtId="44" fontId="15" fillId="16" borderId="0" xfId="0" applyNumberFormat="1" applyFont="1" applyFill="1" applyAlignment="1">
      <alignment horizontal="center" vertical="center"/>
    </xf>
    <xf numFmtId="0" fontId="6" fillId="30" borderId="2" xfId="0" applyFont="1" applyFill="1" applyBorder="1" applyAlignment="1">
      <alignment horizontal="center" vertical="center"/>
    </xf>
    <xf numFmtId="3" fontId="0" fillId="16" borderId="2" xfId="0" applyNumberFormat="1" applyFill="1" applyBorder="1" applyAlignment="1">
      <alignment horizontal="center"/>
    </xf>
    <xf numFmtId="0" fontId="0" fillId="32" borderId="2" xfId="0" applyFill="1" applyBorder="1"/>
    <xf numFmtId="44" fontId="0" fillId="31" borderId="2" xfId="1" applyFont="1" applyFill="1" applyBorder="1" applyAlignment="1">
      <alignment horizontal="left"/>
    </xf>
    <xf numFmtId="44" fontId="0" fillId="31" borderId="2" xfId="0" applyNumberFormat="1" applyFill="1" applyBorder="1" applyAlignment="1">
      <alignment horizontal="center"/>
    </xf>
    <xf numFmtId="2" fontId="0" fillId="32" borderId="2" xfId="0" applyNumberFormat="1" applyFill="1" applyBorder="1" applyAlignment="1">
      <alignment horizontal="center"/>
    </xf>
    <xf numFmtId="3" fontId="0" fillId="32" borderId="2" xfId="0" applyNumberFormat="1" applyFill="1" applyBorder="1" applyAlignment="1">
      <alignment horizontal="center"/>
    </xf>
    <xf numFmtId="0" fontId="7" fillId="16" borderId="0" xfId="0" applyFont="1" applyFill="1"/>
    <xf numFmtId="164" fontId="7" fillId="16" borderId="0" xfId="0" applyNumberFormat="1" applyFont="1" applyFill="1"/>
    <xf numFmtId="164" fontId="7" fillId="16" borderId="0" xfId="0" applyNumberFormat="1" applyFont="1" applyFill="1" applyAlignment="1">
      <alignment wrapText="1"/>
    </xf>
    <xf numFmtId="0" fontId="7" fillId="16" borderId="0" xfId="0" applyFont="1" applyFill="1" applyAlignment="1">
      <alignment horizontal="center"/>
    </xf>
    <xf numFmtId="164" fontId="7" fillId="16" borderId="0" xfId="0" applyNumberFormat="1" applyFont="1" applyFill="1" applyAlignment="1">
      <alignment horizontal="center"/>
    </xf>
    <xf numFmtId="0" fontId="0" fillId="16" borderId="0" xfId="0" applyFill="1" applyAlignment="1">
      <alignment horizontal="center"/>
    </xf>
    <xf numFmtId="0" fontId="0" fillId="33" borderId="2" xfId="0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49" fontId="0" fillId="33" borderId="2" xfId="0" applyNumberFormat="1" applyFill="1" applyBorder="1" applyAlignment="1">
      <alignment horizontal="left"/>
    </xf>
    <xf numFmtId="49" fontId="0" fillId="35" borderId="2" xfId="0" applyNumberFormat="1" applyFill="1" applyBorder="1" applyAlignment="1">
      <alignment horizontal="left"/>
    </xf>
    <xf numFmtId="0" fontId="0" fillId="33" borderId="2" xfId="0" applyFill="1" applyBorder="1" applyAlignment="1">
      <alignment horizontal="left"/>
    </xf>
    <xf numFmtId="0" fontId="0" fillId="35" borderId="2" xfId="0" applyFill="1" applyBorder="1" applyAlignment="1">
      <alignment horizontal="left"/>
    </xf>
    <xf numFmtId="164" fontId="0" fillId="33" borderId="2" xfId="0" applyNumberFormat="1" applyFill="1" applyBorder="1" applyAlignment="1">
      <alignment horizontal="center"/>
    </xf>
    <xf numFmtId="164" fontId="0" fillId="35" borderId="2" xfId="0" applyNumberFormat="1" applyFill="1" applyBorder="1" applyAlignment="1">
      <alignment horizontal="center"/>
    </xf>
    <xf numFmtId="164" fontId="0" fillId="33" borderId="11" xfId="0" applyNumberFormat="1" applyFill="1" applyBorder="1" applyAlignment="1">
      <alignment horizontal="center"/>
    </xf>
    <xf numFmtId="2" fontId="0" fillId="33" borderId="2" xfId="0" applyNumberFormat="1" applyFill="1" applyBorder="1" applyAlignment="1">
      <alignment horizontal="center"/>
    </xf>
    <xf numFmtId="2" fontId="0" fillId="34" borderId="2" xfId="0" applyNumberFormat="1" applyFill="1" applyBorder="1" applyAlignment="1">
      <alignment horizontal="center"/>
    </xf>
    <xf numFmtId="164" fontId="0" fillId="36" borderId="2" xfId="0" applyNumberFormat="1" applyFill="1" applyBorder="1" applyAlignment="1">
      <alignment horizontal="center"/>
    </xf>
    <xf numFmtId="164" fontId="0" fillId="37" borderId="2" xfId="0" applyNumberFormat="1" applyFill="1" applyBorder="1" applyAlignment="1">
      <alignment horizontal="center"/>
    </xf>
    <xf numFmtId="3" fontId="0" fillId="36" borderId="2" xfId="0" applyNumberFormat="1" applyFill="1" applyBorder="1" applyAlignment="1">
      <alignment horizontal="center"/>
    </xf>
    <xf numFmtId="3" fontId="0" fillId="37" borderId="2" xfId="0" applyNumberFormat="1" applyFill="1" applyBorder="1" applyAlignment="1">
      <alignment horizontal="center"/>
    </xf>
    <xf numFmtId="0" fontId="0" fillId="35" borderId="2" xfId="0" applyFill="1" applyBorder="1" applyAlignment="1">
      <alignment horizontal="center"/>
    </xf>
    <xf numFmtId="49" fontId="0" fillId="38" borderId="2" xfId="0" applyNumberFormat="1" applyFill="1" applyBorder="1" applyAlignment="1">
      <alignment horizontal="left"/>
    </xf>
    <xf numFmtId="0" fontId="16" fillId="16" borderId="0" xfId="0" applyFont="1" applyFill="1" applyAlignment="1">
      <alignment horizontal="center" vertical="center"/>
    </xf>
    <xf numFmtId="164" fontId="0" fillId="33" borderId="10" xfId="0" applyNumberFormat="1" applyFill="1" applyBorder="1" applyAlignment="1">
      <alignment vertical="center"/>
    </xf>
    <xf numFmtId="164" fontId="0" fillId="33" borderId="11" xfId="0" applyNumberFormat="1" applyFill="1" applyBorder="1" applyAlignment="1">
      <alignment vertical="center"/>
    </xf>
    <xf numFmtId="0" fontId="0" fillId="33" borderId="10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10" xfId="0" applyFill="1" applyBorder="1" applyAlignment="1">
      <alignment vertical="center"/>
    </xf>
    <xf numFmtId="0" fontId="0" fillId="33" borderId="11" xfId="0" applyFill="1" applyBorder="1" applyAlignment="1">
      <alignment vertical="center"/>
    </xf>
    <xf numFmtId="164" fontId="0" fillId="36" borderId="11" xfId="0" applyNumberFormat="1" applyFill="1" applyBorder="1" applyAlignment="1">
      <alignment vertical="center"/>
    </xf>
    <xf numFmtId="3" fontId="0" fillId="36" borderId="11" xfId="0" applyNumberFormat="1" applyFill="1" applyBorder="1" applyAlignment="1">
      <alignment horizontal="center" vertical="center"/>
    </xf>
    <xf numFmtId="164" fontId="0" fillId="36" borderId="10" xfId="0" applyNumberFormat="1" applyFill="1" applyBorder="1" applyAlignment="1">
      <alignment vertical="center"/>
    </xf>
    <xf numFmtId="3" fontId="0" fillId="36" borderId="10" xfId="0" applyNumberFormat="1" applyFill="1" applyBorder="1" applyAlignment="1">
      <alignment horizontal="center" vertical="center"/>
    </xf>
    <xf numFmtId="0" fontId="0" fillId="33" borderId="11" xfId="0" applyFill="1" applyBorder="1" applyAlignment="1">
      <alignment horizontal="left"/>
    </xf>
    <xf numFmtId="164" fontId="0" fillId="35" borderId="2" xfId="0" applyNumberFormat="1" applyFill="1" applyBorder="1" applyAlignment="1">
      <alignment vertical="center"/>
    </xf>
    <xf numFmtId="0" fontId="0" fillId="35" borderId="2" xfId="0" applyFill="1" applyBorder="1" applyAlignment="1">
      <alignment horizontal="center" vertical="center"/>
    </xf>
    <xf numFmtId="0" fontId="0" fillId="34" borderId="2" xfId="0" applyFill="1" applyBorder="1" applyAlignment="1">
      <alignment vertical="center"/>
    </xf>
    <xf numFmtId="164" fontId="0" fillId="37" borderId="2" xfId="0" applyNumberFormat="1" applyFill="1" applyBorder="1" applyAlignment="1">
      <alignment vertical="center"/>
    </xf>
    <xf numFmtId="0" fontId="0" fillId="33" borderId="10" xfId="0" applyFill="1" applyBorder="1" applyAlignment="1">
      <alignment horizontal="left"/>
    </xf>
    <xf numFmtId="3" fontId="0" fillId="37" borderId="2" xfId="0" applyNumberFormat="1" applyFill="1" applyBorder="1" applyAlignment="1">
      <alignment horizontal="center" vertical="center"/>
    </xf>
    <xf numFmtId="0" fontId="0" fillId="33" borderId="2" xfId="0" applyFill="1" applyBorder="1" applyAlignment="1">
      <alignment horizontal="center" vertical="center"/>
    </xf>
    <xf numFmtId="49" fontId="0" fillId="38" borderId="10" xfId="0" applyNumberFormat="1" applyFill="1" applyBorder="1" applyAlignment="1">
      <alignment horizontal="left"/>
    </xf>
    <xf numFmtId="164" fontId="0" fillId="20" borderId="10" xfId="0" applyNumberFormat="1" applyFill="1" applyBorder="1" applyAlignment="1">
      <alignment vertical="center"/>
    </xf>
    <xf numFmtId="164" fontId="0" fillId="20" borderId="11" xfId="0" applyNumberFormat="1" applyFill="1" applyBorder="1" applyAlignment="1">
      <alignment vertical="center"/>
    </xf>
    <xf numFmtId="164" fontId="0" fillId="20" borderId="25" xfId="0" applyNumberFormat="1" applyFill="1" applyBorder="1" applyAlignment="1">
      <alignment vertical="center"/>
    </xf>
    <xf numFmtId="164" fontId="0" fillId="20" borderId="6" xfId="0" applyNumberForma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9" borderId="3" xfId="0" applyFont="1" applyFill="1" applyBorder="1" applyAlignment="1">
      <alignment horizontal="left" vertical="center"/>
    </xf>
    <xf numFmtId="0" fontId="5" fillId="9" borderId="25" xfId="0" applyFont="1" applyFill="1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20" borderId="7" xfId="0" applyFill="1" applyBorder="1"/>
    <xf numFmtId="0" fontId="0" fillId="20" borderId="8" xfId="0" applyFill="1" applyBorder="1"/>
    <xf numFmtId="0" fontId="0" fillId="20" borderId="2" xfId="0" applyFill="1" applyBorder="1"/>
    <xf numFmtId="0" fontId="0" fillId="20" borderId="5" xfId="0" applyFill="1" applyBorder="1"/>
    <xf numFmtId="0" fontId="0" fillId="20" borderId="6" xfId="0" applyFill="1" applyBorder="1"/>
    <xf numFmtId="0" fontId="0" fillId="20" borderId="7" xfId="0" applyFill="1" applyBorder="1" applyAlignment="1">
      <alignment horizontal="left"/>
    </xf>
    <xf numFmtId="0" fontId="0" fillId="20" borderId="8" xfId="0" applyFill="1" applyBorder="1" applyAlignment="1">
      <alignment horizontal="left"/>
    </xf>
    <xf numFmtId="0" fontId="0" fillId="15" borderId="7" xfId="0" applyFill="1" applyBorder="1" applyAlignment="1">
      <alignment horizontal="left"/>
    </xf>
    <xf numFmtId="0" fontId="0" fillId="15" borderId="8" xfId="0" applyFill="1" applyBorder="1" applyAlignment="1">
      <alignment horizontal="left"/>
    </xf>
    <xf numFmtId="0" fontId="7" fillId="0" borderId="18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21" xfId="0" applyFont="1" applyBorder="1" applyAlignment="1">
      <alignment horizontal="right"/>
    </xf>
    <xf numFmtId="0" fontId="7" fillId="0" borderId="22" xfId="0" applyFont="1" applyBorder="1" applyAlignment="1">
      <alignment horizontal="right"/>
    </xf>
    <xf numFmtId="0" fontId="7" fillId="0" borderId="12" xfId="0" applyFont="1" applyBorder="1" applyAlignment="1">
      <alignment horizontal="right"/>
    </xf>
    <xf numFmtId="0" fontId="7" fillId="0" borderId="16" xfId="0" applyFont="1" applyBorder="1" applyAlignment="1">
      <alignment horizontal="right"/>
    </xf>
    <xf numFmtId="0" fontId="7" fillId="21" borderId="2" xfId="0" applyFont="1" applyFill="1" applyBorder="1"/>
    <xf numFmtId="0" fontId="0" fillId="21" borderId="2" xfId="0" applyFill="1" applyBorder="1"/>
    <xf numFmtId="0" fontId="0" fillId="15" borderId="5" xfId="0" applyFill="1" applyBorder="1"/>
    <xf numFmtId="0" fontId="0" fillId="15" borderId="6" xfId="0" applyFill="1" applyBorder="1"/>
    <xf numFmtId="44" fontId="0" fillId="20" borderId="2" xfId="0" applyNumberFormat="1" applyFill="1" applyBorder="1" applyAlignment="1">
      <alignment horizontal="left" vertical="center"/>
    </xf>
    <xf numFmtId="44" fontId="0" fillId="20" borderId="2" xfId="1" applyFont="1" applyFill="1" applyBorder="1" applyAlignment="1">
      <alignment horizontal="left" vertical="center"/>
    </xf>
    <xf numFmtId="0" fontId="0" fillId="15" borderId="7" xfId="0" applyFill="1" applyBorder="1"/>
    <xf numFmtId="0" fontId="0" fillId="15" borderId="8" xfId="0" applyFill="1" applyBorder="1"/>
    <xf numFmtId="0" fontId="0" fillId="16" borderId="7" xfId="0" applyFill="1" applyBorder="1"/>
    <xf numFmtId="0" fontId="0" fillId="16" borderId="8" xfId="0" applyFill="1" applyBorder="1"/>
    <xf numFmtId="164" fontId="7" fillId="0" borderId="0" xfId="0" applyNumberFormat="1" applyFont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0" fontId="7" fillId="0" borderId="2" xfId="0" applyFont="1" applyBorder="1"/>
    <xf numFmtId="164" fontId="0" fillId="20" borderId="25" xfId="0" applyNumberFormat="1" applyFill="1" applyBorder="1" applyAlignment="1">
      <alignment horizontal="center" vertical="center"/>
    </xf>
    <xf numFmtId="164" fontId="0" fillId="20" borderId="6" xfId="0" applyNumberFormat="1" applyFill="1" applyBorder="1" applyAlignment="1">
      <alignment horizontal="center" vertical="center"/>
    </xf>
    <xf numFmtId="0" fontId="0" fillId="15" borderId="2" xfId="0" applyFill="1" applyBorder="1"/>
    <xf numFmtId="0" fontId="0" fillId="0" borderId="11" xfId="0" applyBorder="1"/>
    <xf numFmtId="0" fontId="0" fillId="0" borderId="2" xfId="0" applyBorder="1"/>
    <xf numFmtId="0" fontId="0" fillId="15" borderId="10" xfId="0" applyFill="1" applyBorder="1" applyAlignment="1">
      <alignment wrapText="1"/>
    </xf>
    <xf numFmtId="0" fontId="8" fillId="0" borderId="1" xfId="0" applyFont="1" applyBorder="1"/>
    <xf numFmtId="0" fontId="9" fillId="0" borderId="7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44" fontId="0" fillId="11" borderId="10" xfId="0" applyNumberFormat="1" applyFill="1" applyBorder="1" applyAlignment="1">
      <alignment horizontal="center" vertical="center"/>
    </xf>
    <xf numFmtId="44" fontId="0" fillId="11" borderId="11" xfId="0" applyNumberFormat="1" applyFill="1" applyBorder="1" applyAlignment="1">
      <alignment horizontal="center" vertical="center"/>
    </xf>
    <xf numFmtId="0" fontId="9" fillId="0" borderId="17" xfId="0" applyFont="1" applyBorder="1" applyAlignment="1">
      <alignment horizontal="right"/>
    </xf>
    <xf numFmtId="0" fontId="9" fillId="0" borderId="14" xfId="0" applyFont="1" applyBorder="1" applyAlignment="1">
      <alignment horizontal="right"/>
    </xf>
    <xf numFmtId="0" fontId="9" fillId="0" borderId="15" xfId="0" applyFont="1" applyBorder="1" applyAlignment="1">
      <alignment horizontal="right"/>
    </xf>
    <xf numFmtId="0" fontId="0" fillId="11" borderId="10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164" fontId="0" fillId="11" borderId="10" xfId="0" applyNumberFormat="1" applyFill="1" applyBorder="1" applyAlignment="1">
      <alignment horizontal="center" vertical="center"/>
    </xf>
    <xf numFmtId="164" fontId="0" fillId="11" borderId="11" xfId="0" applyNumberFormat="1" applyFill="1" applyBorder="1" applyAlignment="1">
      <alignment horizontal="center" vertical="center"/>
    </xf>
    <xf numFmtId="164" fontId="0" fillId="20" borderId="10" xfId="0" applyNumberFormat="1" applyFill="1" applyBorder="1" applyAlignment="1">
      <alignment horizontal="center" vertical="center"/>
    </xf>
    <xf numFmtId="164" fontId="0" fillId="20" borderId="11" xfId="0" applyNumberFormat="1" applyFill="1" applyBorder="1" applyAlignment="1">
      <alignment horizontal="center" vertical="center"/>
    </xf>
    <xf numFmtId="0" fontId="7" fillId="0" borderId="17" xfId="0" applyFont="1" applyBorder="1"/>
    <xf numFmtId="0" fontId="7" fillId="0" borderId="14" xfId="0" applyFont="1" applyBorder="1"/>
    <xf numFmtId="0" fontId="7" fillId="0" borderId="1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15" borderId="7" xfId="0" applyFill="1" applyBorder="1" applyAlignment="1">
      <alignment wrapText="1"/>
    </xf>
    <xf numFmtId="0" fontId="0" fillId="15" borderId="8" xfId="0" applyFill="1" applyBorder="1" applyAlignment="1">
      <alignment wrapText="1"/>
    </xf>
    <xf numFmtId="0" fontId="7" fillId="0" borderId="0" xfId="0" applyFont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15" borderId="19" xfId="0" applyFill="1" applyBorder="1"/>
    <xf numFmtId="0" fontId="0" fillId="15" borderId="20" xfId="0" applyFill="1" applyBorder="1"/>
    <xf numFmtId="164" fontId="7" fillId="0" borderId="1" xfId="0" applyNumberFormat="1" applyFont="1" applyBorder="1" applyAlignment="1">
      <alignment horizontal="center" vertical="center"/>
    </xf>
    <xf numFmtId="164" fontId="0" fillId="11" borderId="27" xfId="0" applyNumberFormat="1" applyFill="1" applyBorder="1" applyAlignment="1">
      <alignment horizontal="center" vertical="center"/>
    </xf>
    <xf numFmtId="164" fontId="0" fillId="11" borderId="5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3" fillId="11" borderId="10" xfId="0" applyNumberFormat="1" applyFont="1" applyFill="1" applyBorder="1" applyAlignment="1">
      <alignment horizontal="center" vertical="center"/>
    </xf>
    <xf numFmtId="164" fontId="3" fillId="11" borderId="11" xfId="0" applyNumberFormat="1" applyFont="1" applyFill="1" applyBorder="1" applyAlignment="1">
      <alignment horizontal="center" vertical="center"/>
    </xf>
    <xf numFmtId="0" fontId="3" fillId="11" borderId="10" xfId="0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164" fontId="3" fillId="11" borderId="25" xfId="0" applyNumberFormat="1" applyFont="1" applyFill="1" applyBorder="1" applyAlignment="1">
      <alignment horizontal="center" vertical="center"/>
    </xf>
    <xf numFmtId="164" fontId="3" fillId="11" borderId="6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left"/>
    </xf>
    <xf numFmtId="0" fontId="20" fillId="0" borderId="0" xfId="0" applyFont="1"/>
    <xf numFmtId="0" fontId="21" fillId="0" borderId="0" xfId="0" applyFont="1"/>
    <xf numFmtId="164" fontId="7" fillId="11" borderId="0" xfId="0" applyNumberFormat="1" applyFont="1" applyFill="1"/>
    <xf numFmtId="167" fontId="7" fillId="11" borderId="0" xfId="0" applyNumberFormat="1" applyFont="1" applyFill="1"/>
    <xf numFmtId="3" fontId="0" fillId="0" borderId="2" xfId="0" applyNumberFormat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168" fontId="0" fillId="0" borderId="2" xfId="0" applyNumberFormat="1" applyBorder="1" applyAlignment="1">
      <alignment horizontal="right"/>
    </xf>
    <xf numFmtId="0" fontId="17" fillId="39" borderId="2" xfId="0" applyFont="1" applyFill="1" applyBorder="1" applyAlignment="1">
      <alignment horizontal="center" vertical="center" wrapText="1"/>
    </xf>
    <xf numFmtId="3" fontId="7" fillId="40" borderId="2" xfId="0" applyNumberFormat="1" applyFont="1" applyFill="1" applyBorder="1" applyAlignment="1">
      <alignment horizontal="right"/>
    </xf>
    <xf numFmtId="164" fontId="7" fillId="40" borderId="2" xfId="0" applyNumberFormat="1" applyFont="1" applyFill="1" applyBorder="1" applyAlignment="1">
      <alignment horizontal="right"/>
    </xf>
    <xf numFmtId="168" fontId="7" fillId="40" borderId="2" xfId="0" applyNumberFormat="1" applyFont="1" applyFill="1" applyBorder="1" applyAlignment="1">
      <alignment horizontal="right"/>
    </xf>
    <xf numFmtId="0" fontId="7" fillId="40" borderId="2" xfId="0" applyFont="1" applyFill="1" applyBorder="1" applyAlignment="1">
      <alignment horizontal="left"/>
    </xf>
  </cellXfs>
  <cellStyles count="3">
    <cellStyle name="Moeda" xfId="1" builtinId="4"/>
    <cellStyle name="Moeda 2" xfId="2" xr:uid="{8749F512-B19A-403A-A381-5D6E9B4DC72F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8C0E59"/>
      <color rgb="FFFF00FF"/>
      <color rgb="FFC634B8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38099</xdr:colOff>
      <xdr:row>15</xdr:row>
      <xdr:rowOff>108585</xdr:rowOff>
    </xdr:from>
    <xdr:ext cx="9605964" cy="677228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53F0E474-E49B-4DDC-BB1C-15FF43E5CEA3}"/>
            </a:ext>
          </a:extLst>
        </xdr:cNvPr>
        <xdr:cNvSpPr txBox="1"/>
      </xdr:nvSpPr>
      <xdr:spPr>
        <a:xfrm>
          <a:off x="295274" y="2823210"/>
          <a:ext cx="9605964" cy="677228"/>
        </a:xfrm>
        <a:prstGeom prst="rect">
          <a:avLst/>
        </a:prstGeom>
        <a:solidFill>
          <a:srgbClr val="D9EAF7"/>
        </a:solidFill>
        <a:ln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 incentivo de COMPLEMENTAÇÃO DE AIH atual é</a:t>
          </a:r>
          <a:r>
            <a:rPr lang="pt-BR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</a:t>
          </a:r>
          <a:r>
            <a:rPr lang="pt-BR" sz="1100" b="1" i="0" u="none" baseline="0">
              <a:solidFill>
                <a:schemeClr val="accent3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R$ </a:t>
          </a:r>
          <a:r>
            <a:rPr lang="pt-BR" sz="1100" b="1" i="0" u="none">
              <a:solidFill>
                <a:schemeClr val="accent3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51.426,00 </a:t>
          </a:r>
          <a:r>
            <a:rPr lang="pt-BR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 é</a:t>
          </a:r>
          <a:r>
            <a:rPr lang="pt-BR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utlizado para cobrir o déficit de custo por paciente internado, sendo vinculado à produção Hospitalar mensal. Este valor persiste o mesmo do contrato anterior, apenas dividindo pelo novo número médio de AIHs (que aumentou de 418 para 499), tornando o INCENTIVO médio por AIH menor (de R$ 142,85 -&gt; para R$ 103,05), porém no mesmo valor financeiro.</a:t>
          </a:r>
          <a:endParaRPr lang="pt-BR" sz="1100" b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769697</xdr:colOff>
      <xdr:row>47</xdr:row>
      <xdr:rowOff>0</xdr:rowOff>
    </xdr:from>
    <xdr:ext cx="184731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B9822C42-B075-40C2-A184-05F01E21EA86}"/>
            </a:ext>
          </a:extLst>
        </xdr:cNvPr>
        <xdr:cNvSpPr txBox="1"/>
      </xdr:nvSpPr>
      <xdr:spPr>
        <a:xfrm>
          <a:off x="19733972" y="6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6</xdr:col>
      <xdr:colOff>569575</xdr:colOff>
      <xdr:row>48</xdr:row>
      <xdr:rowOff>0</xdr:rowOff>
    </xdr:from>
    <xdr:ext cx="115453" cy="30788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13141BBE-22E8-49A2-86E4-3908134394B7}"/>
            </a:ext>
          </a:extLst>
        </xdr:cNvPr>
        <xdr:cNvSpPr txBox="1"/>
      </xdr:nvSpPr>
      <xdr:spPr>
        <a:xfrm flipH="1">
          <a:off x="7670463" y="4792567"/>
          <a:ext cx="115453" cy="307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pt-BR" sz="1100" b="1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569575</xdr:colOff>
      <xdr:row>62</xdr:row>
      <xdr:rowOff>53879</xdr:rowOff>
    </xdr:from>
    <xdr:ext cx="115453" cy="30788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5C3D128F-DED5-47D0-B82A-10FEA4F3655F}"/>
            </a:ext>
          </a:extLst>
        </xdr:cNvPr>
        <xdr:cNvSpPr txBox="1"/>
      </xdr:nvSpPr>
      <xdr:spPr>
        <a:xfrm flipH="1">
          <a:off x="13254181" y="10614121"/>
          <a:ext cx="115453" cy="307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pt-BR" sz="1100" b="1"/>
        </a:p>
      </xdr:txBody>
    </xdr:sp>
    <xdr:clientData/>
  </xdr:oneCellAnchor>
  <xdr:oneCellAnchor>
    <xdr:from>
      <xdr:col>0</xdr:col>
      <xdr:colOff>715818</xdr:colOff>
      <xdr:row>170</xdr:row>
      <xdr:rowOff>46181</xdr:rowOff>
    </xdr:from>
    <xdr:ext cx="5080000" cy="3024909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ABA972E4-C8ED-F08E-D6F0-DF00F1277E8C}"/>
            </a:ext>
          </a:extLst>
        </xdr:cNvPr>
        <xdr:cNvSpPr txBox="1"/>
      </xdr:nvSpPr>
      <xdr:spPr>
        <a:xfrm>
          <a:off x="715818" y="32288787"/>
          <a:ext cx="5080000" cy="3024909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100" b="1"/>
            <a:t>**</a:t>
          </a:r>
          <a:r>
            <a:rPr lang="pt-BR" sz="1100"/>
            <a:t> O valor relativo do Incentivo</a:t>
          </a:r>
          <a:r>
            <a:rPr lang="pt-BR" sz="1100" baseline="0"/>
            <a:t> pós-fixado no valor de R$ 259,29 (duzentos e cinquenta e nove reais e vinte e nove centavos) para cada AIH faturada no hospital, limitando-se ao valor total de R$ 129.130,59 ( cento e e vinte nove mil cento e trinta reais e cinta e nove centavos) mensais. </a:t>
          </a:r>
          <a:r>
            <a:rPr lang="pt-BR" sz="1100" b="1" baseline="0"/>
            <a:t>Obs:</a:t>
          </a:r>
          <a:r>
            <a:rPr lang="pt-B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 valor do índice</a:t>
          </a:r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foi alterado devido ao aumento da capacidade instalada (23 novos leitos clínicos) e o nº de AIH a serem apresentadas, neste valor está incluso todo o custo da nova unidade.</a:t>
          </a:r>
          <a:br>
            <a:rPr lang="pt-BR" sz="1100" baseline="0"/>
          </a:br>
          <a:r>
            <a:rPr lang="pt-BR" sz="1100" b="1" baseline="0"/>
            <a:t>****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 valor relativo do Incentivo de complementação à diálise será para reequilíbrio financeiro  na execução do serviço. 	</a:t>
          </a:r>
          <a:b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1" baseline="0"/>
            <a:t>****</a:t>
          </a:r>
          <a:r>
            <a:rPr lang="pt-BR" sz="1100" b="0" baseline="0"/>
            <a:t>O valor relativo do Incentivo de complementação de exame de alto custo será sobre o valor da tabela sigtap, conforme tabela acima.   </a:t>
          </a:r>
          <a:br>
            <a:rPr lang="pt-BR" sz="1100" b="0" baseline="0"/>
          </a:br>
          <a:r>
            <a:rPr lang="pt-BR" sz="1100" b="1" baseline="0"/>
            <a:t>*****   </a:t>
          </a:r>
          <a:r>
            <a:rPr lang="pt-BR" sz="1100" b="0" baseline="0"/>
            <a:t>O valor </a:t>
          </a:r>
          <a:r>
            <a:rPr lang="pt-BR" sz="1100" b="1" baseline="0"/>
            <a:t>É fixo </a:t>
          </a:r>
          <a:r>
            <a:rPr lang="pt-BR" sz="1100" b="0" baseline="0"/>
            <a:t>devido aos custos mensais da manutenção do necrotério.  </a:t>
          </a:r>
          <a:br>
            <a:rPr lang="pt-BR" sz="1100" b="0" baseline="0"/>
          </a:br>
          <a:r>
            <a:rPr lang="pt-BR" sz="1100" b="1" baseline="0"/>
            <a:t>****** </a:t>
          </a:r>
          <a:r>
            <a:rPr lang="pt-BR" sz="1100" b="0" baseline="0"/>
            <a:t>O Serviço de verificação de óbitos </a:t>
          </a:r>
          <a:r>
            <a:rPr lang="pt-BR" sz="1100" b="1" baseline="0"/>
            <a:t>Não é fixo</a:t>
          </a:r>
          <a:r>
            <a:rPr lang="pt-BR" sz="1100" b="0" baseline="0"/>
            <a:t>, refere-se a um quantitativo estimado em 30 óbitos mês. </a:t>
          </a:r>
          <a:br>
            <a:rPr lang="pt-BR" sz="1100" b="0" baseline="0"/>
          </a:br>
          <a:r>
            <a:rPr lang="pt-BR" sz="1100" b="1" baseline="0"/>
            <a:t>******* </a:t>
          </a:r>
          <a:r>
            <a:rPr lang="pt-BR" sz="1100" b="0" baseline="0"/>
            <a:t>O valor referente </a:t>
          </a:r>
          <a:r>
            <a:rPr lang="pt-BR" sz="1100" b="1" baseline="0"/>
            <a:t>a Hemodinâmica será integral</a:t>
          </a:r>
          <a:r>
            <a:rPr lang="pt-BR" sz="1100" b="0" baseline="0"/>
            <a:t>,  trata- se de alta complexidade e o Hospital </a:t>
          </a:r>
          <a:r>
            <a:rPr lang="pt-BR" sz="1100" b="1" baseline="0"/>
            <a:t>não tem a habilitação. </a:t>
          </a:r>
          <a:br>
            <a:rPr lang="pt-BR" sz="1100" b="1" baseline="0"/>
          </a:br>
          <a:r>
            <a:rPr lang="pt-BR" sz="1100" b="1" baseline="0"/>
            <a:t>******** </a:t>
          </a:r>
          <a:r>
            <a:rPr lang="pt-BR" sz="1100" b="0" baseline="0"/>
            <a:t>O valor referente a Endoscopia </a:t>
          </a:r>
          <a:r>
            <a:rPr lang="pt-BR" sz="1100" b="1" baseline="0"/>
            <a:t>É fixo</a:t>
          </a:r>
          <a:r>
            <a:rPr lang="pt-BR" sz="1100" b="0" baseline="0"/>
            <a:t>, trata- se do custo fixo da unidade.</a:t>
          </a:r>
          <a:br>
            <a:rPr lang="pt-BR" sz="1100" b="1" baseline="0"/>
          </a:br>
          <a:endParaRPr lang="pt-BR" sz="1100" b="1"/>
        </a:p>
      </xdr:txBody>
    </xdr:sp>
    <xdr:clientData/>
  </xdr:oneCellAnchor>
  <xdr:oneCellAnchor>
    <xdr:from>
      <xdr:col>2</xdr:col>
      <xdr:colOff>1000606</xdr:colOff>
      <xdr:row>173</xdr:row>
      <xdr:rowOff>0</xdr:rowOff>
    </xdr:from>
    <xdr:ext cx="3271213" cy="931333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214250DE-E63B-108A-34F7-4391026B9EA7}"/>
            </a:ext>
          </a:extLst>
        </xdr:cNvPr>
        <xdr:cNvSpPr txBox="1"/>
      </xdr:nvSpPr>
      <xdr:spPr>
        <a:xfrm>
          <a:off x="6473151" y="32796788"/>
          <a:ext cx="3271213" cy="931333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100" b="1"/>
            <a:t>Obs: esta cor representa</a:t>
          </a:r>
          <a:r>
            <a:rPr lang="pt-BR" sz="1100" b="1" baseline="0"/>
            <a:t> as alterações de valores  e inclusões nos incentivos,  do contrato 0037/2024 conforme contrato inicial e termos aditivos.</a:t>
          </a:r>
          <a:endParaRPr lang="pt-BR" sz="1100" b="1"/>
        </a:p>
      </xdr:txBody>
    </xdr:sp>
    <xdr:clientData/>
  </xdr:oneCellAnchor>
  <xdr:oneCellAnchor>
    <xdr:from>
      <xdr:col>0</xdr:col>
      <xdr:colOff>105001</xdr:colOff>
      <xdr:row>121</xdr:row>
      <xdr:rowOff>46181</xdr:rowOff>
    </xdr:from>
    <xdr:ext cx="3997500" cy="891319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BA722E7A-BCDF-E8F7-F13A-56CAE8CD14E9}"/>
            </a:ext>
          </a:extLst>
        </xdr:cNvPr>
        <xdr:cNvSpPr txBox="1"/>
      </xdr:nvSpPr>
      <xdr:spPr>
        <a:xfrm>
          <a:off x="105001" y="22141181"/>
          <a:ext cx="3997500" cy="89131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100" b="1"/>
            <a:t>Obs: esta cor representa as inclusões </a:t>
          </a:r>
          <a:br>
            <a:rPr lang="pt-BR" sz="1100" b="1"/>
          </a:br>
          <a:r>
            <a:rPr lang="pt-BR" sz="1100" b="1"/>
            <a:t>no plano de trabalho</a:t>
          </a:r>
          <a:br>
            <a:rPr lang="pt-BR" sz="1100" b="1"/>
          </a:br>
          <a:r>
            <a:rPr lang="pt-BR" sz="1100" b="1"/>
            <a:t>do</a:t>
          </a:r>
          <a:r>
            <a:rPr lang="pt-BR" sz="1100" b="1" baseline="0"/>
            <a:t> contrato 0037/2024, devido a pactuação dos ambulatórios do</a:t>
          </a:r>
        </a:p>
        <a:p>
          <a:r>
            <a:rPr lang="pt-BR" sz="1100" b="1" baseline="0"/>
            <a:t>Assitir de Cardiologia/Nefrologia</a:t>
          </a:r>
        </a:p>
      </xdr:txBody>
    </xdr:sp>
    <xdr:clientData/>
  </xdr:oneCellAnchor>
  <xdr:oneCellAnchor>
    <xdr:from>
      <xdr:col>1</xdr:col>
      <xdr:colOff>1631758</xdr:colOff>
      <xdr:row>121</xdr:row>
      <xdr:rowOff>84667</xdr:rowOff>
    </xdr:from>
    <xdr:ext cx="3048000" cy="723514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67B9C0F0-B0CE-F635-18E9-14D569FD5B8D}"/>
            </a:ext>
          </a:extLst>
        </xdr:cNvPr>
        <xdr:cNvSpPr txBox="1"/>
      </xdr:nvSpPr>
      <xdr:spPr>
        <a:xfrm>
          <a:off x="4225637" y="22682970"/>
          <a:ext cx="3048000" cy="72351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100"/>
            <a:t>Obs: esta cor representa como ficará</a:t>
          </a:r>
          <a:r>
            <a:rPr lang="pt-BR" sz="1100" baseline="0"/>
            <a:t> o contrato nos quantitativos e financeiro no amb. hospitalar e no pronto socorro</a:t>
          </a:r>
          <a:endParaRPr lang="pt-BR" sz="1100"/>
        </a:p>
      </xdr:txBody>
    </xdr:sp>
    <xdr:clientData/>
  </xdr:oneCellAnchor>
  <xdr:oneCellAnchor>
    <xdr:from>
      <xdr:col>0</xdr:col>
      <xdr:colOff>2424545</xdr:colOff>
      <xdr:row>249</xdr:row>
      <xdr:rowOff>184725</xdr:rowOff>
    </xdr:from>
    <xdr:ext cx="4261274" cy="3001819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F0DA1CC8-7B83-4E34-9E4F-AF04486D250E}"/>
            </a:ext>
          </a:extLst>
        </xdr:cNvPr>
        <xdr:cNvSpPr txBox="1"/>
      </xdr:nvSpPr>
      <xdr:spPr>
        <a:xfrm>
          <a:off x="2424545" y="47467210"/>
          <a:ext cx="4261274" cy="3001819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100" b="1"/>
            <a:t>**</a:t>
          </a:r>
          <a:r>
            <a:rPr lang="pt-BR" sz="1100"/>
            <a:t> Será</a:t>
          </a:r>
          <a:r>
            <a:rPr lang="pt-BR" sz="1100" baseline="0"/>
            <a:t>  repassado de forma pós - fixada, o valor como complementação aos procedimentos da tabela MAC ambulatorial aprovados, com índice de 2,521 vezes a remuneração da tabela SIGTAP, com teto de R$ 325.758,02.</a:t>
          </a:r>
          <a:br>
            <a:rPr lang="pt-BR" sz="1100" baseline="0"/>
          </a:br>
          <a:br>
            <a:rPr lang="pt-BR" sz="1100" baseline="0"/>
          </a:br>
          <a:r>
            <a:rPr lang="pt-BR" sz="1100" b="1" baseline="0"/>
            <a:t>*** </a:t>
          </a:r>
          <a:r>
            <a:rPr lang="pt-BR" sz="1100" b="0" baseline="0"/>
            <a:t>Será repassado de forma pré-fixada, o incentivo ao custo fixo, dos dois profissionais, com uma carga horária de 220 hrs mensal.</a:t>
          </a:r>
          <a:br>
            <a:rPr lang="pt-BR" sz="1100" b="0" baseline="0"/>
          </a:br>
          <a:br>
            <a:rPr lang="pt-BR" sz="1100" b="0" baseline="0"/>
          </a:br>
          <a:r>
            <a:rPr lang="pt-BR" sz="1100" b="1" baseline="0"/>
            <a:t>**** </a:t>
          </a:r>
          <a:r>
            <a:rPr lang="pt-BR" sz="1100" b="0" baseline="0"/>
            <a:t>Será repassado de forma pós- fixada o valor integral , por não haver na tabela SigTap código para esse procedimento em ambito hospitalar, se tratando de procedimento realizado na Saúde Primária.</a:t>
          </a:r>
          <a:br>
            <a:rPr lang="pt-BR" sz="1100" baseline="0"/>
          </a:br>
          <a:br>
            <a:rPr lang="pt-BR" sz="1100" baseline="0"/>
          </a:br>
          <a:r>
            <a:rPr lang="pt-BR" sz="1100" b="1" baseline="0"/>
            <a:t>***** </a:t>
          </a:r>
          <a:r>
            <a:rPr lang="pt-BR" sz="1100" b="0" baseline="0"/>
            <a:t>Os recursos pós - fixados serão pagos após o encerramento do processamento da competência , visto estarem relacionados diretamente com a produção, podendo o prestador solicitar, através de ofício, adiantamento de 60% do valor, enquanto tramita o processamento da competência.</a:t>
          </a:r>
          <a:endParaRPr lang="pt-BR" sz="1100" b="1"/>
        </a:p>
      </xdr:txBody>
    </xdr:sp>
    <xdr:clientData/>
  </xdr:oneCellAnchor>
  <xdr:oneCellAnchor>
    <xdr:from>
      <xdr:col>3</xdr:col>
      <xdr:colOff>1054484</xdr:colOff>
      <xdr:row>250</xdr:row>
      <xdr:rowOff>161637</xdr:rowOff>
    </xdr:from>
    <xdr:ext cx="184731" cy="264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752F62F0-0238-4BCA-33C2-D46344694BE8}"/>
            </a:ext>
          </a:extLst>
        </xdr:cNvPr>
        <xdr:cNvSpPr txBox="1"/>
      </xdr:nvSpPr>
      <xdr:spPr>
        <a:xfrm>
          <a:off x="9782848" y="394623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415636</xdr:colOff>
      <xdr:row>250</xdr:row>
      <xdr:rowOff>115453</xdr:rowOff>
    </xdr:from>
    <xdr:ext cx="3148061" cy="769699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D673E067-DF27-3890-28CA-0C540F0F85E4}"/>
            </a:ext>
          </a:extLst>
        </xdr:cNvPr>
        <xdr:cNvSpPr txBox="1"/>
      </xdr:nvSpPr>
      <xdr:spPr>
        <a:xfrm>
          <a:off x="7119697" y="47636544"/>
          <a:ext cx="3148061" cy="769699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Obs: esta cor representa</a:t>
          </a:r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as alterações de valores e</a:t>
          </a:r>
          <a:endParaRPr lang="pt-B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inclusões nos incentivos, no contrato 0038/2024,</a:t>
          </a:r>
          <a:b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conforme contrato inicial e termos aditivos.</a:t>
          </a:r>
          <a:endParaRPr lang="pt-BR">
            <a:effectLst/>
          </a:endParaRPr>
        </a:p>
        <a:p>
          <a:endParaRPr lang="pt-BR" sz="1100" b="1"/>
        </a:p>
      </xdr:txBody>
    </xdr:sp>
    <xdr:clientData/>
  </xdr:oneCellAnchor>
  <xdr:oneCellAnchor>
    <xdr:from>
      <xdr:col>1</xdr:col>
      <xdr:colOff>207818</xdr:colOff>
      <xdr:row>216</xdr:row>
      <xdr:rowOff>100060</xdr:rowOff>
    </xdr:from>
    <xdr:ext cx="3167842" cy="1149620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61FD30F1-5261-BDA4-FFB5-222EB59F2B51}"/>
            </a:ext>
          </a:extLst>
        </xdr:cNvPr>
        <xdr:cNvSpPr txBox="1"/>
      </xdr:nvSpPr>
      <xdr:spPr>
        <a:xfrm>
          <a:off x="2981498" y="64009000"/>
          <a:ext cx="3167842" cy="114962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0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INCENTIVO A TABELA SIGTAP</a:t>
          </a:r>
          <a:br>
            <a:rPr lang="pt-BR" sz="10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pt-BR" sz="10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AMBULATORIAL   </a:t>
          </a:r>
          <a:br>
            <a:rPr lang="pt-BR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Índice de 2,521 vezes a remuneração</a:t>
          </a:r>
          <a:br>
            <a:rPr lang="pt-BR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 tabela</a:t>
          </a:r>
          <a:r>
            <a:rPr lang="pt-BR" b="0">
              <a:effectLst/>
            </a:rPr>
            <a:t>  sigtap</a:t>
          </a:r>
          <a:endParaRPr lang="pt-BR" sz="1100" b="0"/>
        </a:p>
      </xdr:txBody>
    </xdr:sp>
    <xdr:clientData/>
  </xdr:oneCellAnchor>
  <xdr:oneCellAnchor>
    <xdr:from>
      <xdr:col>1</xdr:col>
      <xdr:colOff>1362363</xdr:colOff>
      <xdr:row>99</xdr:row>
      <xdr:rowOff>0</xdr:rowOff>
    </xdr:from>
    <xdr:ext cx="184731" cy="264560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4A2993FE-1BBD-98DE-314B-CA44079EFD6D}"/>
            </a:ext>
          </a:extLst>
        </xdr:cNvPr>
        <xdr:cNvSpPr txBox="1"/>
      </xdr:nvSpPr>
      <xdr:spPr>
        <a:xfrm>
          <a:off x="3956242" y="171411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1223818</xdr:colOff>
      <xdr:row>99</xdr:row>
      <xdr:rowOff>115454</xdr:rowOff>
    </xdr:from>
    <xdr:ext cx="184731" cy="264560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94235EB4-F1A6-FD4F-2F15-A7E90352F255}"/>
            </a:ext>
          </a:extLst>
        </xdr:cNvPr>
        <xdr:cNvSpPr txBox="1"/>
      </xdr:nvSpPr>
      <xdr:spPr>
        <a:xfrm>
          <a:off x="3817697" y="172566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0</xdr:col>
      <xdr:colOff>138545</xdr:colOff>
      <xdr:row>94</xdr:row>
      <xdr:rowOff>251460</xdr:rowOff>
    </xdr:from>
    <xdr:ext cx="3130435" cy="1531620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F4F59FF5-3A50-C8E8-3CB7-43B4E468FB2C}"/>
            </a:ext>
          </a:extLst>
        </xdr:cNvPr>
        <xdr:cNvSpPr txBox="1"/>
      </xdr:nvSpPr>
      <xdr:spPr>
        <a:xfrm>
          <a:off x="138545" y="29603700"/>
          <a:ext cx="3130435" cy="153162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 Taxa</a:t>
          </a:r>
          <a:r>
            <a:rPr lang="pt-BR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sala de 12</a:t>
          </a:r>
          <a:r>
            <a:rPr lang="pt-BR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% sobre</a:t>
          </a:r>
          <a:br>
            <a:rPr lang="pt-BR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 valor do custo do</a:t>
          </a:r>
          <a:br>
            <a:rPr lang="pt-BR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procedimento</a:t>
          </a:r>
          <a:br>
            <a:rPr lang="pt-BR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(não inclui transporte) </a:t>
          </a: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Obs: a</a:t>
          </a:r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taxa já está</a:t>
          </a:r>
          <a:b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inclusa nos valores acima</a:t>
          </a:r>
          <a:endParaRPr lang="pt-BR" sz="1100"/>
        </a:p>
      </xdr:txBody>
    </xdr:sp>
    <xdr:clientData/>
  </xdr:oneCellAnchor>
  <xdr:oneCellAnchor>
    <xdr:from>
      <xdr:col>6</xdr:col>
      <xdr:colOff>569575</xdr:colOff>
      <xdr:row>75</xdr:row>
      <xdr:rowOff>53879</xdr:rowOff>
    </xdr:from>
    <xdr:ext cx="115453" cy="307880"/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B6FF2E05-C119-43DD-BD8C-8BFD715AC4AA}"/>
            </a:ext>
          </a:extLst>
        </xdr:cNvPr>
        <xdr:cNvSpPr txBox="1"/>
      </xdr:nvSpPr>
      <xdr:spPr>
        <a:xfrm flipH="1">
          <a:off x="11268363" y="10467879"/>
          <a:ext cx="115453" cy="307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pt-BR" sz="1100" b="1"/>
        </a:p>
      </xdr:txBody>
    </xdr:sp>
    <xdr:clientData/>
  </xdr:oneCellAnchor>
  <xdr:oneCellAnchor>
    <xdr:from>
      <xdr:col>6</xdr:col>
      <xdr:colOff>569575</xdr:colOff>
      <xdr:row>86</xdr:row>
      <xdr:rowOff>53879</xdr:rowOff>
    </xdr:from>
    <xdr:ext cx="115453" cy="307880"/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9838DF7B-3033-4C5D-A936-7E949988B75B}"/>
            </a:ext>
          </a:extLst>
        </xdr:cNvPr>
        <xdr:cNvSpPr txBox="1"/>
      </xdr:nvSpPr>
      <xdr:spPr>
        <a:xfrm flipH="1">
          <a:off x="11268363" y="12853940"/>
          <a:ext cx="115453" cy="307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pt-BR" sz="1100" b="1"/>
        </a:p>
      </xdr:txBody>
    </xdr:sp>
    <xdr:clientData/>
  </xdr:oneCellAnchor>
  <xdr:oneCellAnchor>
    <xdr:from>
      <xdr:col>9</xdr:col>
      <xdr:colOff>977514</xdr:colOff>
      <xdr:row>93</xdr:row>
      <xdr:rowOff>7697</xdr:rowOff>
    </xdr:from>
    <xdr:ext cx="338666" cy="123151"/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FBDAC1D3-A491-430E-9396-36F81B62B6CF}"/>
            </a:ext>
          </a:extLst>
        </xdr:cNvPr>
        <xdr:cNvSpPr txBox="1"/>
      </xdr:nvSpPr>
      <xdr:spPr>
        <a:xfrm flipH="1" flipV="1">
          <a:off x="15386241" y="17587576"/>
          <a:ext cx="338666" cy="123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pt-BR" sz="1100" b="1"/>
        </a:p>
      </xdr:txBody>
    </xdr:sp>
    <xdr:clientData/>
  </xdr:oneCellAnchor>
  <xdr:oneCellAnchor>
    <xdr:from>
      <xdr:col>7</xdr:col>
      <xdr:colOff>769697</xdr:colOff>
      <xdr:row>25</xdr:row>
      <xdr:rowOff>0</xdr:rowOff>
    </xdr:from>
    <xdr:ext cx="184731" cy="264560"/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EB95B559-9BD7-4848-50B3-F9B7DF8849F4}"/>
            </a:ext>
          </a:extLst>
        </xdr:cNvPr>
        <xdr:cNvSpPr txBox="1"/>
      </xdr:nvSpPr>
      <xdr:spPr>
        <a:xfrm>
          <a:off x="12815455" y="352521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569575</xdr:colOff>
      <xdr:row>86</xdr:row>
      <xdr:rowOff>53879</xdr:rowOff>
    </xdr:from>
    <xdr:ext cx="115453" cy="307880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4B383DD8-0035-4917-A560-1B820528CB28}"/>
            </a:ext>
          </a:extLst>
        </xdr:cNvPr>
        <xdr:cNvSpPr txBox="1"/>
      </xdr:nvSpPr>
      <xdr:spPr>
        <a:xfrm flipH="1">
          <a:off x="11099030" y="15986606"/>
          <a:ext cx="115453" cy="307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pt-BR" sz="1100" b="1"/>
        </a:p>
      </xdr:txBody>
    </xdr:sp>
    <xdr:clientData/>
  </xdr:oneCellAnchor>
  <xdr:oneCellAnchor>
    <xdr:from>
      <xdr:col>10</xdr:col>
      <xdr:colOff>592665</xdr:colOff>
      <xdr:row>99</xdr:row>
      <xdr:rowOff>115454</xdr:rowOff>
    </xdr:from>
    <xdr:ext cx="431030" cy="377152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85DB340D-8761-42BB-88CE-5C5737EC609C}"/>
            </a:ext>
          </a:extLst>
        </xdr:cNvPr>
        <xdr:cNvSpPr txBox="1"/>
      </xdr:nvSpPr>
      <xdr:spPr>
        <a:xfrm flipH="1">
          <a:off x="16402241" y="18249515"/>
          <a:ext cx="431030" cy="3771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pt-BR" sz="1100" b="1"/>
        </a:p>
      </xdr:txBody>
    </xdr:sp>
    <xdr:clientData/>
  </xdr:oneCellAnchor>
  <xdr:oneCellAnchor>
    <xdr:from>
      <xdr:col>5</xdr:col>
      <xdr:colOff>569575</xdr:colOff>
      <xdr:row>86</xdr:row>
      <xdr:rowOff>53879</xdr:rowOff>
    </xdr:from>
    <xdr:ext cx="115453" cy="307880"/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4993E038-8B77-4DFC-A2C3-64C0451ABF0C}"/>
            </a:ext>
          </a:extLst>
        </xdr:cNvPr>
        <xdr:cNvSpPr txBox="1"/>
      </xdr:nvSpPr>
      <xdr:spPr>
        <a:xfrm flipH="1">
          <a:off x="11099030" y="15986606"/>
          <a:ext cx="115453" cy="307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pt-BR" sz="1100" b="1"/>
        </a:p>
      </xdr:txBody>
    </xdr:sp>
    <xdr:clientData/>
  </xdr:oneCellAnchor>
  <xdr:oneCellAnchor>
    <xdr:from>
      <xdr:col>1</xdr:col>
      <xdr:colOff>1362363</xdr:colOff>
      <xdr:row>93</xdr:row>
      <xdr:rowOff>0</xdr:rowOff>
    </xdr:from>
    <xdr:ext cx="184731" cy="264560"/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117B2E30-B609-4C50-BB96-A42B4FC4B0B6}"/>
            </a:ext>
          </a:extLst>
        </xdr:cNvPr>
        <xdr:cNvSpPr txBox="1"/>
      </xdr:nvSpPr>
      <xdr:spPr>
        <a:xfrm>
          <a:off x="4444863" y="1796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1223818</xdr:colOff>
      <xdr:row>93</xdr:row>
      <xdr:rowOff>115454</xdr:rowOff>
    </xdr:from>
    <xdr:ext cx="184731" cy="264560"/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3423B485-FB48-4337-9BF5-5E0CFE57047E}"/>
            </a:ext>
          </a:extLst>
        </xdr:cNvPr>
        <xdr:cNvSpPr txBox="1"/>
      </xdr:nvSpPr>
      <xdr:spPr>
        <a:xfrm>
          <a:off x="4306318" y="180779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592665</xdr:colOff>
      <xdr:row>93</xdr:row>
      <xdr:rowOff>115454</xdr:rowOff>
    </xdr:from>
    <xdr:ext cx="431030" cy="377152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90668876-B600-4AD5-B89B-04EB5B12E079}"/>
            </a:ext>
          </a:extLst>
        </xdr:cNvPr>
        <xdr:cNvSpPr txBox="1"/>
      </xdr:nvSpPr>
      <xdr:spPr>
        <a:xfrm flipH="1">
          <a:off x="18945165" y="18077954"/>
          <a:ext cx="431030" cy="3771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pt-BR" sz="1100" b="1"/>
        </a:p>
      </xdr:txBody>
    </xdr:sp>
    <xdr:clientData/>
  </xdr:oneCellAnchor>
  <xdr:oneCellAnchor>
    <xdr:from>
      <xdr:col>6</xdr:col>
      <xdr:colOff>569575</xdr:colOff>
      <xdr:row>94</xdr:row>
      <xdr:rowOff>53879</xdr:rowOff>
    </xdr:from>
    <xdr:ext cx="115453" cy="307880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EAC5435A-C4CB-4EC8-90FE-DFAA2EBED852}"/>
            </a:ext>
          </a:extLst>
        </xdr:cNvPr>
        <xdr:cNvSpPr txBox="1"/>
      </xdr:nvSpPr>
      <xdr:spPr>
        <a:xfrm flipH="1">
          <a:off x="13042075" y="15683879"/>
          <a:ext cx="115453" cy="307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pt-BR" sz="1100" b="1"/>
        </a:p>
      </xdr:txBody>
    </xdr:sp>
    <xdr:clientData/>
  </xdr:oneCellAnchor>
  <xdr:oneCellAnchor>
    <xdr:from>
      <xdr:col>4</xdr:col>
      <xdr:colOff>569575</xdr:colOff>
      <xdr:row>94</xdr:row>
      <xdr:rowOff>53879</xdr:rowOff>
    </xdr:from>
    <xdr:ext cx="115453" cy="307880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09CE967C-16AC-4DD3-85EB-D961D42E06B5}"/>
            </a:ext>
          </a:extLst>
        </xdr:cNvPr>
        <xdr:cNvSpPr txBox="1"/>
      </xdr:nvSpPr>
      <xdr:spPr>
        <a:xfrm flipH="1">
          <a:off x="10064575" y="15683879"/>
          <a:ext cx="115453" cy="307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pt-BR" sz="1100" b="1"/>
        </a:p>
      </xdr:txBody>
    </xdr:sp>
    <xdr:clientData/>
  </xdr:oneCellAnchor>
  <xdr:oneCellAnchor>
    <xdr:from>
      <xdr:col>5</xdr:col>
      <xdr:colOff>569575</xdr:colOff>
      <xdr:row>94</xdr:row>
      <xdr:rowOff>53879</xdr:rowOff>
    </xdr:from>
    <xdr:ext cx="115453" cy="307880"/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1463732B-8FF8-43B2-B0DF-CF2ECAE379E1}"/>
            </a:ext>
          </a:extLst>
        </xdr:cNvPr>
        <xdr:cNvSpPr txBox="1"/>
      </xdr:nvSpPr>
      <xdr:spPr>
        <a:xfrm flipH="1">
          <a:off x="11624575" y="15683879"/>
          <a:ext cx="115453" cy="307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pt-BR" sz="1100" b="1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3BC3BB9-8947-431D-9A82-712F2675003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6f5d125-6355-476e-800b-e3478f78afb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ACF5A-BAC3-4F00-A023-BEFC6941BF47}">
  <dimension ref="A1:AB131"/>
  <sheetViews>
    <sheetView zoomScale="110" zoomScaleNormal="110" workbookViewId="0">
      <selection activeCell="C8" sqref="C8"/>
    </sheetView>
  </sheetViews>
  <sheetFormatPr defaultRowHeight="14.25" x14ac:dyDescent="0.45"/>
  <cols>
    <col min="1" max="1" width="3.59765625" style="271" customWidth="1"/>
    <col min="2" max="2" width="7.46484375" bestFit="1" customWidth="1"/>
    <col min="3" max="3" width="50.59765625" bestFit="1" customWidth="1"/>
    <col min="4" max="5" width="12.46484375" bestFit="1" customWidth="1"/>
    <col min="6" max="6" width="12.796875" customWidth="1"/>
    <col min="7" max="7" width="13.53125" bestFit="1" customWidth="1"/>
    <col min="8" max="8" width="10.86328125" customWidth="1"/>
    <col min="9" max="9" width="15.06640625" bestFit="1" customWidth="1"/>
    <col min="10" max="28" width="9.06640625" style="271"/>
  </cols>
  <sheetData>
    <row r="1" spans="1:28" ht="20" customHeight="1" x14ac:dyDescent="0.45">
      <c r="B1" s="372" t="s">
        <v>230</v>
      </c>
      <c r="C1" s="372"/>
      <c r="D1" s="372"/>
      <c r="E1" s="372"/>
      <c r="F1" s="372"/>
      <c r="G1" s="372"/>
      <c r="H1" s="372"/>
      <c r="I1" s="372"/>
    </row>
    <row r="2" spans="1:28" ht="20" customHeight="1" x14ac:dyDescent="0.45">
      <c r="B2" s="373"/>
      <c r="C2" s="373"/>
      <c r="D2" s="373"/>
      <c r="E2" s="373"/>
      <c r="F2" s="373"/>
      <c r="G2" s="373"/>
      <c r="H2" s="373"/>
      <c r="I2" s="373"/>
    </row>
    <row r="3" spans="1:28" ht="57" x14ac:dyDescent="0.45">
      <c r="B3" s="273" t="s">
        <v>139</v>
      </c>
      <c r="C3" s="273" t="s">
        <v>1</v>
      </c>
      <c r="D3" s="274" t="s">
        <v>233</v>
      </c>
      <c r="E3" s="274" t="s">
        <v>240</v>
      </c>
      <c r="F3" s="281" t="s">
        <v>270</v>
      </c>
      <c r="G3" s="141" t="s">
        <v>235</v>
      </c>
      <c r="H3" s="140" t="s">
        <v>234</v>
      </c>
      <c r="I3" s="140" t="s">
        <v>236</v>
      </c>
    </row>
    <row r="4" spans="1:28" x14ac:dyDescent="0.45">
      <c r="B4" s="53" t="s">
        <v>7</v>
      </c>
      <c r="C4" s="53" t="s">
        <v>8</v>
      </c>
      <c r="D4" s="54">
        <v>1298.3699999999999</v>
      </c>
      <c r="E4" s="275">
        <v>213</v>
      </c>
      <c r="F4" s="297">
        <v>262.5</v>
      </c>
      <c r="G4" s="56">
        <f t="shared" ref="G4:G12" si="0">F4*D4</f>
        <v>340822.125</v>
      </c>
      <c r="H4" s="64">
        <f t="shared" ref="H4:H12" si="1">F4*12</f>
        <v>3150</v>
      </c>
      <c r="I4" s="56">
        <f t="shared" ref="I4:I12" si="2">H4*D4</f>
        <v>4089865.4999999995</v>
      </c>
    </row>
    <row r="5" spans="1:28" x14ac:dyDescent="0.45">
      <c r="B5" s="58" t="s">
        <v>9</v>
      </c>
      <c r="C5" s="58" t="s">
        <v>10</v>
      </c>
      <c r="D5" s="59">
        <v>1586.69</v>
      </c>
      <c r="E5" s="276">
        <v>15</v>
      </c>
      <c r="F5" s="298">
        <v>26.75</v>
      </c>
      <c r="G5" s="61">
        <f t="shared" si="0"/>
        <v>42443.957500000004</v>
      </c>
      <c r="H5" s="279">
        <f t="shared" si="1"/>
        <v>321</v>
      </c>
      <c r="I5" s="61">
        <f t="shared" si="2"/>
        <v>509327.49</v>
      </c>
    </row>
    <row r="6" spans="1:28" x14ac:dyDescent="0.45">
      <c r="B6" s="53" t="s">
        <v>11</v>
      </c>
      <c r="C6" s="53" t="s">
        <v>241</v>
      </c>
      <c r="D6" s="54">
        <v>297.04000000000002</v>
      </c>
      <c r="E6" s="275">
        <v>20</v>
      </c>
      <c r="F6" s="297">
        <v>19.75</v>
      </c>
      <c r="G6" s="56">
        <f t="shared" si="0"/>
        <v>5866.54</v>
      </c>
      <c r="H6" s="64">
        <f t="shared" si="1"/>
        <v>237</v>
      </c>
      <c r="I6" s="56">
        <f t="shared" si="2"/>
        <v>70398.48000000001</v>
      </c>
    </row>
    <row r="7" spans="1:28" x14ac:dyDescent="0.45">
      <c r="B7" s="58" t="s">
        <v>11</v>
      </c>
      <c r="C7" s="58" t="s">
        <v>242</v>
      </c>
      <c r="D7" s="59">
        <v>297.04000000000002</v>
      </c>
      <c r="E7" s="276">
        <v>7</v>
      </c>
      <c r="F7" s="298">
        <v>13</v>
      </c>
      <c r="G7" s="61">
        <f t="shared" si="0"/>
        <v>3861.5200000000004</v>
      </c>
      <c r="H7" s="279">
        <f t="shared" si="1"/>
        <v>156</v>
      </c>
      <c r="I7" s="61">
        <f t="shared" si="2"/>
        <v>46338.240000000005</v>
      </c>
    </row>
    <row r="8" spans="1:28" x14ac:dyDescent="0.45">
      <c r="B8" s="53" t="s">
        <v>14</v>
      </c>
      <c r="C8" s="53" t="s">
        <v>15</v>
      </c>
      <c r="D8" s="54">
        <f>'Controle.Mensal.AIHs'!$D$42</f>
        <v>518.71888888888896</v>
      </c>
      <c r="E8" s="275">
        <v>30</v>
      </c>
      <c r="F8" s="297">
        <f>'Controle.Mensal.AIHs'!$B$41</f>
        <v>25.5</v>
      </c>
      <c r="G8" s="56">
        <f t="shared" si="0"/>
        <v>13227.331666666669</v>
      </c>
      <c r="H8" s="64">
        <f t="shared" si="1"/>
        <v>306</v>
      </c>
      <c r="I8" s="56">
        <f t="shared" si="2"/>
        <v>158727.98000000001</v>
      </c>
    </row>
    <row r="9" spans="1:28" x14ac:dyDescent="0.45">
      <c r="B9" s="58" t="s">
        <v>16</v>
      </c>
      <c r="C9" s="58" t="s">
        <v>17</v>
      </c>
      <c r="D9" s="59">
        <v>666.17</v>
      </c>
      <c r="E9" s="276">
        <v>35</v>
      </c>
      <c r="F9" s="298">
        <v>33.159999999999997</v>
      </c>
      <c r="G9" s="61">
        <f t="shared" si="0"/>
        <v>22090.197199999995</v>
      </c>
      <c r="H9" s="279">
        <f t="shared" si="1"/>
        <v>397.91999999999996</v>
      </c>
      <c r="I9" s="61">
        <f t="shared" si="2"/>
        <v>265082.36639999994</v>
      </c>
    </row>
    <row r="10" spans="1:28" x14ac:dyDescent="0.45">
      <c r="B10" s="53" t="s">
        <v>18</v>
      </c>
      <c r="C10" s="53" t="s">
        <v>19</v>
      </c>
      <c r="D10" s="54">
        <v>1678.33</v>
      </c>
      <c r="E10" s="275">
        <v>35</v>
      </c>
      <c r="F10" s="297">
        <v>25.83</v>
      </c>
      <c r="G10" s="56">
        <f t="shared" si="0"/>
        <v>43351.263899999998</v>
      </c>
      <c r="H10" s="64">
        <f t="shared" si="1"/>
        <v>309.95999999999998</v>
      </c>
      <c r="I10" s="56">
        <f t="shared" si="2"/>
        <v>520215.16679999995</v>
      </c>
    </row>
    <row r="11" spans="1:28" x14ac:dyDescent="0.45">
      <c r="B11" s="58" t="s">
        <v>18</v>
      </c>
      <c r="C11" s="58" t="s">
        <v>20</v>
      </c>
      <c r="D11" s="59">
        <f>'Controle.Mensal.AIHs'!$D$22</f>
        <v>1446.0483287671234</v>
      </c>
      <c r="E11" s="276">
        <v>30</v>
      </c>
      <c r="F11" s="298">
        <f>'Controle.Mensal.AIHs'!$B$21</f>
        <v>60.833333333333336</v>
      </c>
      <c r="G11" s="61">
        <f t="shared" si="0"/>
        <v>87967.940000000017</v>
      </c>
      <c r="H11" s="279">
        <f>F11*12</f>
        <v>730</v>
      </c>
      <c r="I11" s="61">
        <f t="shared" si="2"/>
        <v>1055615.28</v>
      </c>
    </row>
    <row r="12" spans="1:28" x14ac:dyDescent="0.45">
      <c r="B12" s="53" t="s">
        <v>21</v>
      </c>
      <c r="C12" s="53" t="s">
        <v>22</v>
      </c>
      <c r="D12" s="54">
        <v>1212.67</v>
      </c>
      <c r="E12" s="275">
        <v>33</v>
      </c>
      <c r="F12" s="297">
        <v>53.16</v>
      </c>
      <c r="G12" s="56">
        <f t="shared" si="0"/>
        <v>64465.537199999999</v>
      </c>
      <c r="H12" s="64">
        <f t="shared" si="1"/>
        <v>637.91999999999996</v>
      </c>
      <c r="I12" s="56">
        <f t="shared" si="2"/>
        <v>773586.44640000002</v>
      </c>
    </row>
    <row r="13" spans="1:28" s="278" customFormat="1" ht="20" customHeight="1" x14ac:dyDescent="0.45">
      <c r="A13" s="277"/>
      <c r="B13" s="374" t="s">
        <v>23</v>
      </c>
      <c r="C13" s="375"/>
      <c r="D13" s="302">
        <f>SUMPRODUCT(D4:D12,E4:E12)</f>
        <v>489391.86652968032</v>
      </c>
      <c r="E13" s="303">
        <f>SUM(E4:E12)</f>
        <v>418</v>
      </c>
      <c r="F13" s="303">
        <f>SUM(F4:F12)</f>
        <v>520.48333333333323</v>
      </c>
      <c r="G13" s="304">
        <f>SUM(G4:G12)</f>
        <v>624096.41246666678</v>
      </c>
      <c r="H13" s="303">
        <f>SUM(H4:H12)</f>
        <v>6245.8</v>
      </c>
      <c r="I13" s="304">
        <f>H13*D14</f>
        <v>7312544.7846198026</v>
      </c>
      <c r="J13" s="277"/>
      <c r="K13" s="277"/>
      <c r="L13" s="277"/>
      <c r="M13" s="277"/>
      <c r="N13" s="277"/>
      <c r="O13" s="277"/>
      <c r="P13" s="277"/>
      <c r="Q13" s="277"/>
      <c r="R13" s="277"/>
      <c r="S13" s="277"/>
      <c r="T13" s="277"/>
      <c r="U13" s="277"/>
      <c r="V13" s="277"/>
      <c r="W13" s="277"/>
      <c r="X13" s="277"/>
      <c r="Y13" s="277"/>
      <c r="Z13" s="277"/>
      <c r="AA13" s="277"/>
      <c r="AB13" s="277"/>
    </row>
    <row r="14" spans="1:28" s="271" customFormat="1" x14ac:dyDescent="0.45">
      <c r="B14" s="305"/>
      <c r="C14" s="311" t="s">
        <v>238</v>
      </c>
      <c r="D14" s="312">
        <f>D13/E13</f>
        <v>1170.7939390662209</v>
      </c>
      <c r="E14" s="306" t="s">
        <v>237</v>
      </c>
      <c r="F14" s="308">
        <f>(F13-E13)/E13</f>
        <v>0.24517543859649099</v>
      </c>
      <c r="G14" s="309">
        <f>G13-D13</f>
        <v>134704.54593698645</v>
      </c>
      <c r="H14" s="306"/>
      <c r="I14" s="310">
        <f>G14*12</f>
        <v>1616454.5512438375</v>
      </c>
    </row>
    <row r="15" spans="1:28" s="271" customFormat="1" x14ac:dyDescent="0.45">
      <c r="B15" s="272"/>
      <c r="C15" s="272"/>
      <c r="D15" s="272"/>
      <c r="E15" s="272"/>
      <c r="F15" s="272"/>
      <c r="G15" s="272"/>
      <c r="H15" s="272"/>
      <c r="I15" s="272"/>
    </row>
    <row r="16" spans="1:28" s="271" customFormat="1" x14ac:dyDescent="0.45">
      <c r="C16" s="272"/>
      <c r="D16" s="272"/>
      <c r="E16" s="272"/>
      <c r="F16" s="272"/>
      <c r="G16" s="272"/>
      <c r="H16" s="272"/>
      <c r="I16" s="272"/>
    </row>
    <row r="17" spans="2:9" s="271" customFormat="1" x14ac:dyDescent="0.45">
      <c r="B17" s="272"/>
      <c r="C17" s="272"/>
      <c r="D17" s="272"/>
      <c r="E17" s="272"/>
      <c r="F17" s="272"/>
      <c r="G17" s="272"/>
      <c r="H17" s="272"/>
      <c r="I17" s="272"/>
    </row>
    <row r="18" spans="2:9" s="271" customFormat="1" x14ac:dyDescent="0.45">
      <c r="B18" s="272"/>
      <c r="C18" s="272"/>
      <c r="D18" s="272"/>
      <c r="E18" s="272"/>
      <c r="F18" s="272"/>
      <c r="G18" s="272"/>
      <c r="H18" s="272"/>
      <c r="I18" s="272"/>
    </row>
    <row r="19" spans="2:9" s="271" customFormat="1" x14ac:dyDescent="0.45">
      <c r="B19" s="272"/>
      <c r="C19" s="272"/>
      <c r="D19" s="272"/>
      <c r="E19" s="272"/>
      <c r="F19" s="272"/>
      <c r="G19" s="272"/>
      <c r="H19" s="272"/>
      <c r="I19" s="272"/>
    </row>
    <row r="20" spans="2:9" s="271" customFormat="1" x14ac:dyDescent="0.45">
      <c r="B20" s="272"/>
      <c r="C20" s="272"/>
      <c r="D20" s="272"/>
      <c r="E20" s="272"/>
      <c r="F20" s="272"/>
      <c r="G20" s="272"/>
      <c r="H20" s="272"/>
      <c r="I20" s="272"/>
    </row>
    <row r="21" spans="2:9" s="271" customFormat="1" x14ac:dyDescent="0.45">
      <c r="B21" s="272"/>
      <c r="C21" s="272"/>
      <c r="D21" s="272"/>
      <c r="E21" s="272"/>
      <c r="F21" s="272"/>
      <c r="G21" s="272"/>
      <c r="H21" s="272"/>
      <c r="I21" s="272"/>
    </row>
    <row r="33" spans="2:7" s="271" customFormat="1" x14ac:dyDescent="0.45">
      <c r="B33"/>
      <c r="C33"/>
      <c r="D33"/>
      <c r="E33"/>
      <c r="F33"/>
      <c r="G33"/>
    </row>
    <row r="34" spans="2:7" s="271" customFormat="1" x14ac:dyDescent="0.45">
      <c r="B34"/>
      <c r="C34"/>
      <c r="D34"/>
      <c r="E34"/>
      <c r="F34"/>
      <c r="G34"/>
    </row>
    <row r="35" spans="2:7" s="271" customFormat="1" x14ac:dyDescent="0.45">
      <c r="B35"/>
      <c r="C35"/>
      <c r="D35"/>
      <c r="E35"/>
      <c r="F35"/>
      <c r="G35"/>
    </row>
    <row r="36" spans="2:7" s="271" customFormat="1" x14ac:dyDescent="0.45">
      <c r="B36"/>
      <c r="C36"/>
      <c r="D36"/>
      <c r="E36"/>
      <c r="F36"/>
      <c r="G36"/>
    </row>
    <row r="37" spans="2:7" s="271" customFormat="1" x14ac:dyDescent="0.45">
      <c r="B37"/>
      <c r="C37"/>
      <c r="D37"/>
      <c r="E37"/>
      <c r="F37"/>
      <c r="G37"/>
    </row>
    <row r="38" spans="2:7" s="271" customFormat="1" x14ac:dyDescent="0.45">
      <c r="B38"/>
      <c r="C38"/>
      <c r="D38"/>
      <c r="E38"/>
      <c r="F38"/>
      <c r="G38"/>
    </row>
    <row r="39" spans="2:7" s="271" customFormat="1" x14ac:dyDescent="0.45">
      <c r="B39"/>
      <c r="C39"/>
      <c r="D39"/>
      <c r="E39"/>
      <c r="F39"/>
      <c r="G39"/>
    </row>
    <row r="40" spans="2:7" s="271" customFormat="1" x14ac:dyDescent="0.45">
      <c r="B40"/>
      <c r="C40"/>
      <c r="D40"/>
      <c r="E40"/>
      <c r="F40"/>
      <c r="G40"/>
    </row>
    <row r="41" spans="2:7" s="271" customFormat="1" x14ac:dyDescent="0.45">
      <c r="B41"/>
      <c r="C41"/>
      <c r="D41"/>
      <c r="E41"/>
      <c r="F41"/>
      <c r="G41"/>
    </row>
    <row r="42" spans="2:7" s="271" customFormat="1" x14ac:dyDescent="0.45">
      <c r="B42"/>
      <c r="C42"/>
      <c r="D42"/>
      <c r="E42"/>
      <c r="F42"/>
      <c r="G42"/>
    </row>
    <row r="43" spans="2:7" s="271" customFormat="1" x14ac:dyDescent="0.45">
      <c r="B43"/>
      <c r="C43"/>
      <c r="D43"/>
      <c r="E43"/>
      <c r="F43"/>
      <c r="G43"/>
    </row>
    <row r="44" spans="2:7" s="271" customFormat="1" x14ac:dyDescent="0.45">
      <c r="B44"/>
      <c r="C44"/>
      <c r="D44"/>
      <c r="E44"/>
      <c r="F44"/>
      <c r="G44"/>
    </row>
    <row r="45" spans="2:7" s="271" customFormat="1" x14ac:dyDescent="0.45">
      <c r="B45"/>
      <c r="C45"/>
      <c r="D45"/>
      <c r="E45"/>
      <c r="F45"/>
      <c r="G45"/>
    </row>
    <row r="46" spans="2:7" s="271" customFormat="1" x14ac:dyDescent="0.45">
      <c r="B46"/>
      <c r="C46"/>
      <c r="D46"/>
      <c r="E46"/>
      <c r="F46"/>
      <c r="G46"/>
    </row>
    <row r="47" spans="2:7" s="271" customFormat="1" x14ac:dyDescent="0.45">
      <c r="B47"/>
      <c r="C47"/>
      <c r="D47"/>
      <c r="E47"/>
      <c r="F47"/>
      <c r="G47"/>
    </row>
    <row r="48" spans="2:7" s="271" customFormat="1" x14ac:dyDescent="0.45">
      <c r="B48"/>
      <c r="C48"/>
      <c r="D48"/>
      <c r="E48"/>
      <c r="F48"/>
      <c r="G48"/>
    </row>
    <row r="49" spans="2:7" s="271" customFormat="1" x14ac:dyDescent="0.45">
      <c r="B49"/>
      <c r="C49"/>
      <c r="D49"/>
      <c r="E49"/>
      <c r="F49"/>
      <c r="G49"/>
    </row>
    <row r="50" spans="2:7" s="271" customFormat="1" x14ac:dyDescent="0.45"/>
    <row r="51" spans="2:7" s="271" customFormat="1" x14ac:dyDescent="0.45"/>
    <row r="52" spans="2:7" s="271" customFormat="1" x14ac:dyDescent="0.45"/>
    <row r="53" spans="2:7" s="271" customFormat="1" x14ac:dyDescent="0.45"/>
    <row r="54" spans="2:7" s="271" customFormat="1" x14ac:dyDescent="0.45"/>
    <row r="55" spans="2:7" s="271" customFormat="1" x14ac:dyDescent="0.45"/>
    <row r="56" spans="2:7" s="271" customFormat="1" x14ac:dyDescent="0.45"/>
    <row r="57" spans="2:7" s="271" customFormat="1" x14ac:dyDescent="0.45"/>
    <row r="58" spans="2:7" s="271" customFormat="1" x14ac:dyDescent="0.45"/>
    <row r="59" spans="2:7" s="271" customFormat="1" x14ac:dyDescent="0.45"/>
    <row r="60" spans="2:7" s="271" customFormat="1" x14ac:dyDescent="0.45"/>
    <row r="61" spans="2:7" s="271" customFormat="1" x14ac:dyDescent="0.45"/>
    <row r="62" spans="2:7" s="271" customFormat="1" x14ac:dyDescent="0.45"/>
    <row r="63" spans="2:7" s="271" customFormat="1" x14ac:dyDescent="0.45"/>
    <row r="64" spans="2:7" s="271" customFormat="1" x14ac:dyDescent="0.45"/>
    <row r="65" s="271" customFormat="1" x14ac:dyDescent="0.45"/>
    <row r="66" s="271" customFormat="1" x14ac:dyDescent="0.45"/>
    <row r="67" s="271" customFormat="1" x14ac:dyDescent="0.45"/>
    <row r="68" s="271" customFormat="1" x14ac:dyDescent="0.45"/>
    <row r="69" s="271" customFormat="1" x14ac:dyDescent="0.45"/>
    <row r="70" s="271" customFormat="1" x14ac:dyDescent="0.45"/>
    <row r="71" s="271" customFormat="1" x14ac:dyDescent="0.45"/>
    <row r="72" s="271" customFormat="1" x14ac:dyDescent="0.45"/>
    <row r="73" s="271" customFormat="1" x14ac:dyDescent="0.45"/>
    <row r="74" s="271" customFormat="1" x14ac:dyDescent="0.45"/>
    <row r="75" s="271" customFormat="1" x14ac:dyDescent="0.45"/>
    <row r="76" s="271" customFormat="1" x14ac:dyDescent="0.45"/>
    <row r="77" s="271" customFormat="1" x14ac:dyDescent="0.45"/>
    <row r="78" s="271" customFormat="1" x14ac:dyDescent="0.45"/>
    <row r="79" s="271" customFormat="1" x14ac:dyDescent="0.45"/>
    <row r="80" s="271" customFormat="1" x14ac:dyDescent="0.45"/>
    <row r="81" s="271" customFormat="1" x14ac:dyDescent="0.45"/>
    <row r="82" s="271" customFormat="1" x14ac:dyDescent="0.45"/>
    <row r="83" s="271" customFormat="1" x14ac:dyDescent="0.45"/>
    <row r="84" s="271" customFormat="1" x14ac:dyDescent="0.45"/>
    <row r="85" s="271" customFormat="1" x14ac:dyDescent="0.45"/>
    <row r="86" s="271" customFormat="1" x14ac:dyDescent="0.45"/>
    <row r="87" s="271" customFormat="1" x14ac:dyDescent="0.45"/>
    <row r="88" s="271" customFormat="1" x14ac:dyDescent="0.45"/>
    <row r="89" s="271" customFormat="1" x14ac:dyDescent="0.45"/>
    <row r="90" s="271" customFormat="1" x14ac:dyDescent="0.45"/>
    <row r="91" s="271" customFormat="1" x14ac:dyDescent="0.45"/>
    <row r="92" s="271" customFormat="1" x14ac:dyDescent="0.45"/>
    <row r="93" s="271" customFormat="1" x14ac:dyDescent="0.45"/>
    <row r="94" s="271" customFormat="1" x14ac:dyDescent="0.45"/>
    <row r="95" s="271" customFormat="1" x14ac:dyDescent="0.45"/>
    <row r="96" s="271" customFormat="1" x14ac:dyDescent="0.45"/>
    <row r="97" s="271" customFormat="1" x14ac:dyDescent="0.45"/>
    <row r="98" s="271" customFormat="1" x14ac:dyDescent="0.45"/>
    <row r="99" s="271" customFormat="1" x14ac:dyDescent="0.45"/>
    <row r="100" s="271" customFormat="1" x14ac:dyDescent="0.45"/>
    <row r="101" s="271" customFormat="1" x14ac:dyDescent="0.45"/>
    <row r="102" s="271" customFormat="1" x14ac:dyDescent="0.45"/>
    <row r="103" s="271" customFormat="1" x14ac:dyDescent="0.45"/>
    <row r="104" s="271" customFormat="1" x14ac:dyDescent="0.45"/>
    <row r="105" s="271" customFormat="1" x14ac:dyDescent="0.45"/>
    <row r="106" s="271" customFormat="1" x14ac:dyDescent="0.45"/>
    <row r="107" s="271" customFormat="1" x14ac:dyDescent="0.45"/>
    <row r="108" s="271" customFormat="1" x14ac:dyDescent="0.45"/>
    <row r="109" s="271" customFormat="1" x14ac:dyDescent="0.45"/>
    <row r="110" s="271" customFormat="1" x14ac:dyDescent="0.45"/>
    <row r="111" s="271" customFormat="1" x14ac:dyDescent="0.45"/>
    <row r="112" s="271" customFormat="1" x14ac:dyDescent="0.45"/>
    <row r="113" s="271" customFormat="1" x14ac:dyDescent="0.45"/>
    <row r="114" s="271" customFormat="1" x14ac:dyDescent="0.45"/>
    <row r="115" s="271" customFormat="1" x14ac:dyDescent="0.45"/>
    <row r="116" s="271" customFormat="1" x14ac:dyDescent="0.45"/>
    <row r="117" s="271" customFormat="1" x14ac:dyDescent="0.45"/>
    <row r="118" s="271" customFormat="1" x14ac:dyDescent="0.45"/>
    <row r="119" s="271" customFormat="1" x14ac:dyDescent="0.45"/>
    <row r="120" s="271" customFormat="1" x14ac:dyDescent="0.45"/>
    <row r="121" s="271" customFormat="1" x14ac:dyDescent="0.45"/>
    <row r="122" s="271" customFormat="1" x14ac:dyDescent="0.45"/>
    <row r="123" s="271" customFormat="1" x14ac:dyDescent="0.45"/>
    <row r="124" s="271" customFormat="1" x14ac:dyDescent="0.45"/>
    <row r="125" s="271" customFormat="1" x14ac:dyDescent="0.45"/>
    <row r="126" s="271" customFormat="1" x14ac:dyDescent="0.45"/>
    <row r="127" s="271" customFormat="1" x14ac:dyDescent="0.45"/>
    <row r="128" s="271" customFormat="1" x14ac:dyDescent="0.45"/>
    <row r="129" s="271" customFormat="1" x14ac:dyDescent="0.45"/>
    <row r="130" s="271" customFormat="1" x14ac:dyDescent="0.45"/>
    <row r="131" s="271" customFormat="1" x14ac:dyDescent="0.45"/>
  </sheetData>
  <mergeCells count="2">
    <mergeCell ref="B1:I2"/>
    <mergeCell ref="B13:C13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105F-E464-4D35-8F26-90516491A5F1}">
  <dimension ref="A1:AC109"/>
  <sheetViews>
    <sheetView topLeftCell="A27" zoomScale="120" zoomScaleNormal="120" workbookViewId="0">
      <selection activeCell="E38" sqref="E38"/>
    </sheetView>
  </sheetViews>
  <sheetFormatPr defaultRowHeight="14.25" x14ac:dyDescent="0.45"/>
  <cols>
    <col min="1" max="1" width="5" style="271" customWidth="1"/>
    <col min="2" max="2" width="14.59765625" customWidth="1"/>
    <col min="3" max="3" width="50.59765625" bestFit="1" customWidth="1"/>
    <col min="4" max="4" width="14.46484375" customWidth="1"/>
    <col min="5" max="5" width="12.46484375" bestFit="1" customWidth="1"/>
    <col min="6" max="6" width="12.796875" customWidth="1"/>
    <col min="7" max="7" width="13.53125" bestFit="1" customWidth="1"/>
    <col min="8" max="8" width="10.86328125" style="75" customWidth="1"/>
    <col min="9" max="9" width="15.06640625" bestFit="1" customWidth="1"/>
    <col min="10" max="10" width="11.46484375" style="271" bestFit="1" customWidth="1"/>
    <col min="11" max="11" width="16.265625" style="271" customWidth="1"/>
    <col min="12" max="29" width="9.06640625" style="271"/>
  </cols>
  <sheetData>
    <row r="1" spans="2:9" ht="20" customHeight="1" x14ac:dyDescent="0.45">
      <c r="B1" s="372" t="s">
        <v>230</v>
      </c>
      <c r="C1" s="372"/>
      <c r="D1" s="372"/>
      <c r="E1" s="372"/>
      <c r="F1" s="372"/>
      <c r="G1" s="372"/>
      <c r="H1" s="372"/>
      <c r="I1" s="372"/>
    </row>
    <row r="2" spans="2:9" ht="20" customHeight="1" x14ac:dyDescent="0.45">
      <c r="B2" s="373"/>
      <c r="C2" s="373"/>
      <c r="D2" s="373"/>
      <c r="E2" s="373"/>
      <c r="F2" s="373"/>
      <c r="G2" s="373"/>
      <c r="H2" s="373"/>
      <c r="I2" s="373"/>
    </row>
    <row r="3" spans="2:9" ht="57" x14ac:dyDescent="0.45">
      <c r="B3" s="273" t="s">
        <v>139</v>
      </c>
      <c r="C3" s="273" t="s">
        <v>1</v>
      </c>
      <c r="D3" s="274" t="s">
        <v>267</v>
      </c>
      <c r="E3" s="274" t="s">
        <v>240</v>
      </c>
      <c r="F3" s="281" t="s">
        <v>239</v>
      </c>
      <c r="G3" s="141" t="s">
        <v>235</v>
      </c>
      <c r="H3" s="140" t="s">
        <v>234</v>
      </c>
      <c r="I3" s="140" t="s">
        <v>236</v>
      </c>
    </row>
    <row r="4" spans="2:9" x14ac:dyDescent="0.45">
      <c r="B4" s="333" t="s">
        <v>24</v>
      </c>
      <c r="C4" s="335" t="s">
        <v>25</v>
      </c>
      <c r="D4" s="337">
        <v>23.73</v>
      </c>
      <c r="E4" s="331">
        <v>20</v>
      </c>
      <c r="F4" s="340">
        <v>3.75</v>
      </c>
      <c r="G4" s="342">
        <f t="shared" ref="G4:G25" si="0">F4*D4</f>
        <v>88.987499999999997</v>
      </c>
      <c r="H4" s="344">
        <f t="shared" ref="H4:H25" si="1">F4*12</f>
        <v>45</v>
      </c>
      <c r="I4" s="342">
        <f t="shared" ref="I4:I25" si="2">H4*D4</f>
        <v>1067.8499999999999</v>
      </c>
    </row>
    <row r="5" spans="2:9" x14ac:dyDescent="0.45">
      <c r="B5" s="334" t="s">
        <v>26</v>
      </c>
      <c r="C5" s="336" t="s">
        <v>27</v>
      </c>
      <c r="D5" s="338">
        <v>4.8</v>
      </c>
      <c r="E5" s="346">
        <v>1080</v>
      </c>
      <c r="F5" s="341">
        <v>1797.75</v>
      </c>
      <c r="G5" s="343">
        <f t="shared" si="0"/>
        <v>8629.1999999999989</v>
      </c>
      <c r="H5" s="345">
        <f t="shared" si="1"/>
        <v>21573</v>
      </c>
      <c r="I5" s="343">
        <f t="shared" si="2"/>
        <v>103550.39999999999</v>
      </c>
    </row>
    <row r="6" spans="2:9" x14ac:dyDescent="0.45">
      <c r="B6" s="333" t="s">
        <v>26</v>
      </c>
      <c r="C6" s="335" t="s">
        <v>28</v>
      </c>
      <c r="D6" s="337">
        <v>4.8</v>
      </c>
      <c r="E6" s="331">
        <v>1312</v>
      </c>
      <c r="F6" s="340">
        <v>0</v>
      </c>
      <c r="G6" s="342">
        <f t="shared" si="0"/>
        <v>0</v>
      </c>
      <c r="H6" s="344">
        <f t="shared" si="1"/>
        <v>0</v>
      </c>
      <c r="I6" s="342">
        <f t="shared" si="2"/>
        <v>0</v>
      </c>
    </row>
    <row r="7" spans="2:9" x14ac:dyDescent="0.45">
      <c r="B7" s="334" t="s">
        <v>29</v>
      </c>
      <c r="C7" s="336" t="s">
        <v>30</v>
      </c>
      <c r="D7" s="338">
        <v>50</v>
      </c>
      <c r="E7" s="346">
        <v>32</v>
      </c>
      <c r="F7" s="341">
        <v>49.25</v>
      </c>
      <c r="G7" s="343">
        <f t="shared" si="0"/>
        <v>2462.5</v>
      </c>
      <c r="H7" s="345">
        <f t="shared" si="1"/>
        <v>591</v>
      </c>
      <c r="I7" s="343">
        <f t="shared" si="2"/>
        <v>29550</v>
      </c>
    </row>
    <row r="8" spans="2:9" x14ac:dyDescent="0.45">
      <c r="B8" s="333" t="s">
        <v>31</v>
      </c>
      <c r="C8" s="335" t="s">
        <v>32</v>
      </c>
      <c r="D8" s="337">
        <v>9</v>
      </c>
      <c r="E8" s="331">
        <v>632</v>
      </c>
      <c r="F8" s="340">
        <v>590.5</v>
      </c>
      <c r="G8" s="342">
        <f t="shared" si="0"/>
        <v>5314.5</v>
      </c>
      <c r="H8" s="344">
        <f t="shared" si="1"/>
        <v>7086</v>
      </c>
      <c r="I8" s="342">
        <f t="shared" si="2"/>
        <v>63774</v>
      </c>
    </row>
    <row r="9" spans="2:9" x14ac:dyDescent="0.45">
      <c r="B9" s="334" t="s">
        <v>33</v>
      </c>
      <c r="C9" s="336" t="s">
        <v>34</v>
      </c>
      <c r="D9" s="338">
        <v>32.56</v>
      </c>
      <c r="E9" s="346">
        <v>70</v>
      </c>
      <c r="F9" s="341">
        <v>135.75</v>
      </c>
      <c r="G9" s="343">
        <f t="shared" si="0"/>
        <v>4420.0200000000004</v>
      </c>
      <c r="H9" s="345">
        <f t="shared" si="1"/>
        <v>1629</v>
      </c>
      <c r="I9" s="343">
        <f t="shared" si="2"/>
        <v>53040.240000000005</v>
      </c>
    </row>
    <row r="10" spans="2:9" x14ac:dyDescent="0.45">
      <c r="B10" s="333" t="s">
        <v>31</v>
      </c>
      <c r="C10" s="335" t="s">
        <v>35</v>
      </c>
      <c r="D10" s="339">
        <v>22.5</v>
      </c>
      <c r="E10" s="332">
        <v>10</v>
      </c>
      <c r="F10" s="340">
        <v>0.75</v>
      </c>
      <c r="G10" s="342">
        <f t="shared" si="0"/>
        <v>16.875</v>
      </c>
      <c r="H10" s="344">
        <f t="shared" si="1"/>
        <v>9</v>
      </c>
      <c r="I10" s="342">
        <f t="shared" si="2"/>
        <v>202.5</v>
      </c>
    </row>
    <row r="11" spans="2:9" x14ac:dyDescent="0.45">
      <c r="B11" s="334" t="s">
        <v>31</v>
      </c>
      <c r="C11" s="336" t="s">
        <v>36</v>
      </c>
      <c r="D11" s="338">
        <v>135</v>
      </c>
      <c r="E11" s="346">
        <v>190</v>
      </c>
      <c r="F11" s="341">
        <v>149.41</v>
      </c>
      <c r="G11" s="343">
        <f t="shared" si="0"/>
        <v>20170.349999999999</v>
      </c>
      <c r="H11" s="345">
        <f>F11*12</f>
        <v>1792.92</v>
      </c>
      <c r="I11" s="343">
        <f t="shared" si="2"/>
        <v>242044.2</v>
      </c>
    </row>
    <row r="12" spans="2:9" x14ac:dyDescent="0.45">
      <c r="B12" s="333" t="s">
        <v>37</v>
      </c>
      <c r="C12" s="335" t="s">
        <v>38</v>
      </c>
      <c r="D12" s="337">
        <v>5.75</v>
      </c>
      <c r="E12" s="331">
        <v>48</v>
      </c>
      <c r="F12" s="340">
        <v>88</v>
      </c>
      <c r="G12" s="342">
        <f t="shared" si="0"/>
        <v>506</v>
      </c>
      <c r="H12" s="344">
        <f t="shared" si="1"/>
        <v>1056</v>
      </c>
      <c r="I12" s="342">
        <f t="shared" si="2"/>
        <v>6072</v>
      </c>
    </row>
    <row r="13" spans="2:9" x14ac:dyDescent="0.45">
      <c r="B13" s="334" t="s">
        <v>39</v>
      </c>
      <c r="C13" s="336" t="s">
        <v>40</v>
      </c>
      <c r="D13" s="338">
        <v>17.04</v>
      </c>
      <c r="E13" s="346">
        <v>35</v>
      </c>
      <c r="F13" s="341">
        <v>17.5</v>
      </c>
      <c r="G13" s="343">
        <f t="shared" si="0"/>
        <v>298.2</v>
      </c>
      <c r="H13" s="345">
        <f t="shared" si="1"/>
        <v>210</v>
      </c>
      <c r="I13" s="343">
        <f t="shared" si="2"/>
        <v>3578.3999999999996</v>
      </c>
    </row>
    <row r="14" spans="2:9" x14ac:dyDescent="0.45">
      <c r="B14" s="333" t="s">
        <v>41</v>
      </c>
      <c r="C14" s="335" t="s">
        <v>42</v>
      </c>
      <c r="D14" s="337">
        <v>23.16</v>
      </c>
      <c r="E14" s="331">
        <v>48</v>
      </c>
      <c r="F14" s="340">
        <v>31.75</v>
      </c>
      <c r="G14" s="342">
        <f t="shared" si="0"/>
        <v>735.33</v>
      </c>
      <c r="H14" s="344">
        <f t="shared" si="1"/>
        <v>381</v>
      </c>
      <c r="I14" s="342">
        <f t="shared" si="2"/>
        <v>8823.9600000000009</v>
      </c>
    </row>
    <row r="15" spans="2:9" x14ac:dyDescent="0.45">
      <c r="B15" s="334" t="s">
        <v>51</v>
      </c>
      <c r="C15" s="336" t="s">
        <v>268</v>
      </c>
      <c r="D15" s="338">
        <v>30</v>
      </c>
      <c r="E15" s="346">
        <v>30</v>
      </c>
      <c r="F15" s="341">
        <v>20.91</v>
      </c>
      <c r="G15" s="343">
        <f t="shared" si="0"/>
        <v>627.29999999999995</v>
      </c>
      <c r="H15" s="345">
        <f t="shared" si="1"/>
        <v>250.92000000000002</v>
      </c>
      <c r="I15" s="343">
        <f t="shared" si="2"/>
        <v>7527.6</v>
      </c>
    </row>
    <row r="16" spans="2:9" x14ac:dyDescent="0.45">
      <c r="B16" s="333" t="s">
        <v>78</v>
      </c>
      <c r="C16" s="335" t="s">
        <v>53</v>
      </c>
      <c r="D16" s="337">
        <v>0.63</v>
      </c>
      <c r="E16" s="331">
        <v>130</v>
      </c>
      <c r="F16" s="340">
        <v>63.66</v>
      </c>
      <c r="G16" s="342">
        <f t="shared" si="0"/>
        <v>40.105799999999995</v>
      </c>
      <c r="H16" s="344">
        <f t="shared" si="1"/>
        <v>763.92</v>
      </c>
      <c r="I16" s="342">
        <f t="shared" si="2"/>
        <v>481.26959999999997</v>
      </c>
    </row>
    <row r="17" spans="1:9" x14ac:dyDescent="0.45">
      <c r="B17" s="334" t="s">
        <v>54</v>
      </c>
      <c r="C17" s="336" t="s">
        <v>55</v>
      </c>
      <c r="D17" s="338">
        <v>17.04</v>
      </c>
      <c r="E17" s="346">
        <v>20</v>
      </c>
      <c r="F17" s="341">
        <v>10.68</v>
      </c>
      <c r="G17" s="343">
        <f t="shared" si="0"/>
        <v>181.98719999999997</v>
      </c>
      <c r="H17" s="345">
        <f t="shared" si="1"/>
        <v>128.16</v>
      </c>
      <c r="I17" s="343">
        <f t="shared" si="2"/>
        <v>2183.8463999999999</v>
      </c>
    </row>
    <row r="18" spans="1:9" x14ac:dyDescent="0.45">
      <c r="B18" s="333" t="s">
        <v>56</v>
      </c>
      <c r="C18" s="335" t="s">
        <v>57</v>
      </c>
      <c r="D18" s="337">
        <v>32.4</v>
      </c>
      <c r="E18" s="331">
        <v>20</v>
      </c>
      <c r="F18" s="340">
        <v>72.75</v>
      </c>
      <c r="G18" s="342">
        <f t="shared" si="0"/>
        <v>2357.1</v>
      </c>
      <c r="H18" s="344">
        <f t="shared" si="1"/>
        <v>873</v>
      </c>
      <c r="I18" s="342">
        <f t="shared" si="2"/>
        <v>28285.199999999997</v>
      </c>
    </row>
    <row r="19" spans="1:9" x14ac:dyDescent="0.45">
      <c r="B19" s="334" t="s">
        <v>43</v>
      </c>
      <c r="C19" s="336" t="s">
        <v>44</v>
      </c>
      <c r="D19" s="338">
        <v>6.3</v>
      </c>
      <c r="E19" s="346">
        <v>930</v>
      </c>
      <c r="F19" s="341">
        <v>874.5</v>
      </c>
      <c r="G19" s="343">
        <f t="shared" si="0"/>
        <v>5509.3499999999995</v>
      </c>
      <c r="H19" s="345">
        <f t="shared" si="1"/>
        <v>10494</v>
      </c>
      <c r="I19" s="343">
        <f t="shared" si="2"/>
        <v>66112.2</v>
      </c>
    </row>
    <row r="20" spans="1:9" x14ac:dyDescent="0.45">
      <c r="B20" s="333" t="s">
        <v>45</v>
      </c>
      <c r="C20" s="335" t="s">
        <v>166</v>
      </c>
      <c r="D20" s="337">
        <v>10</v>
      </c>
      <c r="E20" s="331">
        <v>75</v>
      </c>
      <c r="F20" s="340">
        <v>865.41</v>
      </c>
      <c r="G20" s="342">
        <f t="shared" si="0"/>
        <v>8654.1</v>
      </c>
      <c r="H20" s="344">
        <f t="shared" si="1"/>
        <v>10384.92</v>
      </c>
      <c r="I20" s="342">
        <f t="shared" si="2"/>
        <v>103849.2</v>
      </c>
    </row>
    <row r="21" spans="1:9" x14ac:dyDescent="0.45">
      <c r="B21" s="334" t="s">
        <v>45</v>
      </c>
      <c r="C21" s="336" t="s">
        <v>46</v>
      </c>
      <c r="D21" s="338">
        <v>10</v>
      </c>
      <c r="E21" s="346">
        <v>202</v>
      </c>
      <c r="F21" s="341">
        <v>0</v>
      </c>
      <c r="G21" s="343">
        <f t="shared" si="0"/>
        <v>0</v>
      </c>
      <c r="H21" s="345">
        <f t="shared" si="1"/>
        <v>0</v>
      </c>
      <c r="I21" s="343">
        <f t="shared" si="2"/>
        <v>0</v>
      </c>
    </row>
    <row r="22" spans="1:9" x14ac:dyDescent="0.45">
      <c r="B22" s="333" t="s">
        <v>45</v>
      </c>
      <c r="C22" s="335" t="s">
        <v>47</v>
      </c>
      <c r="D22" s="337">
        <v>10</v>
      </c>
      <c r="E22" s="331">
        <v>240</v>
      </c>
      <c r="F22" s="340">
        <v>0</v>
      </c>
      <c r="G22" s="342">
        <f t="shared" si="0"/>
        <v>0</v>
      </c>
      <c r="H22" s="344">
        <f t="shared" si="1"/>
        <v>0</v>
      </c>
      <c r="I22" s="342">
        <f t="shared" si="2"/>
        <v>0</v>
      </c>
    </row>
    <row r="23" spans="1:9" x14ac:dyDescent="0.45">
      <c r="A23" s="348" t="s">
        <v>269</v>
      </c>
      <c r="B23" s="347" t="s">
        <v>45</v>
      </c>
      <c r="C23" s="336" t="s">
        <v>48</v>
      </c>
      <c r="D23" s="338">
        <v>10</v>
      </c>
      <c r="E23" s="346">
        <v>360</v>
      </c>
      <c r="F23" s="341">
        <v>0</v>
      </c>
      <c r="G23" s="343">
        <f t="shared" si="0"/>
        <v>0</v>
      </c>
      <c r="H23" s="345">
        <f t="shared" si="1"/>
        <v>0</v>
      </c>
      <c r="I23" s="343">
        <f t="shared" si="2"/>
        <v>0</v>
      </c>
    </row>
    <row r="24" spans="1:9" x14ac:dyDescent="0.45">
      <c r="A24" s="348" t="s">
        <v>269</v>
      </c>
      <c r="B24" s="347" t="s">
        <v>45</v>
      </c>
      <c r="C24" s="335" t="s">
        <v>49</v>
      </c>
      <c r="D24" s="337">
        <v>10</v>
      </c>
      <c r="E24" s="331">
        <v>60</v>
      </c>
      <c r="F24" s="340">
        <v>0</v>
      </c>
      <c r="G24" s="342">
        <f t="shared" si="0"/>
        <v>0</v>
      </c>
      <c r="H24" s="344">
        <f t="shared" si="1"/>
        <v>0</v>
      </c>
      <c r="I24" s="342">
        <f t="shared" si="2"/>
        <v>0</v>
      </c>
    </row>
    <row r="25" spans="1:9" x14ac:dyDescent="0.45">
      <c r="A25" s="348" t="s">
        <v>269</v>
      </c>
      <c r="B25" s="347" t="s">
        <v>45</v>
      </c>
      <c r="C25" s="336" t="s">
        <v>141</v>
      </c>
      <c r="D25" s="338">
        <v>10</v>
      </c>
      <c r="E25" s="346">
        <v>240</v>
      </c>
      <c r="F25" s="341">
        <v>0</v>
      </c>
      <c r="G25" s="343">
        <f t="shared" si="0"/>
        <v>0</v>
      </c>
      <c r="H25" s="345">
        <f t="shared" si="1"/>
        <v>0</v>
      </c>
      <c r="I25" s="343">
        <f t="shared" si="2"/>
        <v>0</v>
      </c>
    </row>
    <row r="26" spans="1:9" x14ac:dyDescent="0.45">
      <c r="A26" s="348" t="s">
        <v>269</v>
      </c>
      <c r="B26" s="347" t="s">
        <v>148</v>
      </c>
      <c r="C26" s="335" t="s">
        <v>171</v>
      </c>
      <c r="D26" s="337">
        <v>179.46</v>
      </c>
      <c r="E26" s="331">
        <v>2</v>
      </c>
      <c r="F26" s="340"/>
      <c r="G26" s="342"/>
      <c r="H26" s="344"/>
      <c r="I26" s="342"/>
    </row>
    <row r="27" spans="1:9" x14ac:dyDescent="0.45">
      <c r="A27" s="348" t="s">
        <v>269</v>
      </c>
      <c r="B27" s="347" t="s">
        <v>187</v>
      </c>
      <c r="C27" s="336" t="s">
        <v>189</v>
      </c>
      <c r="D27" s="338">
        <v>37.950000000000003</v>
      </c>
      <c r="E27" s="346">
        <v>10</v>
      </c>
      <c r="F27" s="341"/>
      <c r="G27" s="343"/>
      <c r="H27" s="345"/>
      <c r="I27" s="343"/>
    </row>
    <row r="28" spans="1:9" x14ac:dyDescent="0.45">
      <c r="A28" s="348" t="s">
        <v>269</v>
      </c>
      <c r="B28" s="347" t="s">
        <v>188</v>
      </c>
      <c r="C28" s="335" t="s">
        <v>190</v>
      </c>
      <c r="D28" s="337">
        <v>24.2</v>
      </c>
      <c r="E28" s="331">
        <v>10</v>
      </c>
      <c r="F28" s="340"/>
      <c r="G28" s="342"/>
      <c r="H28" s="344"/>
      <c r="I28" s="342"/>
    </row>
    <row r="29" spans="1:9" x14ac:dyDescent="0.45">
      <c r="A29" s="348" t="s">
        <v>269</v>
      </c>
      <c r="B29" s="347" t="s">
        <v>147</v>
      </c>
      <c r="C29" s="336" t="s">
        <v>161</v>
      </c>
      <c r="D29" s="338">
        <v>39.6</v>
      </c>
      <c r="E29" s="346">
        <v>2</v>
      </c>
      <c r="F29" s="341"/>
      <c r="G29" s="343"/>
      <c r="H29" s="345"/>
      <c r="I29" s="343"/>
    </row>
    <row r="30" spans="1:9" x14ac:dyDescent="0.45">
      <c r="A30" s="348" t="s">
        <v>269</v>
      </c>
      <c r="B30" s="347" t="s">
        <v>149</v>
      </c>
      <c r="C30" s="335" t="s">
        <v>164</v>
      </c>
      <c r="D30" s="337">
        <v>859.2</v>
      </c>
      <c r="E30" s="331">
        <v>5</v>
      </c>
      <c r="F30" s="340"/>
      <c r="G30" s="342"/>
      <c r="H30" s="344"/>
      <c r="I30" s="342"/>
    </row>
    <row r="31" spans="1:9" x14ac:dyDescent="0.45">
      <c r="A31" s="348" t="s">
        <v>269</v>
      </c>
      <c r="B31" s="347" t="s">
        <v>150</v>
      </c>
      <c r="C31" s="336" t="s">
        <v>165</v>
      </c>
      <c r="D31" s="338">
        <v>600</v>
      </c>
      <c r="E31" s="346">
        <v>5</v>
      </c>
      <c r="F31" s="341"/>
      <c r="G31" s="343"/>
      <c r="H31" s="345"/>
      <c r="I31" s="343"/>
    </row>
    <row r="32" spans="1:9" x14ac:dyDescent="0.45">
      <c r="A32" s="348" t="s">
        <v>269</v>
      </c>
      <c r="B32" s="347" t="s">
        <v>31</v>
      </c>
      <c r="C32" s="335" t="s">
        <v>182</v>
      </c>
      <c r="D32" s="337">
        <v>9</v>
      </c>
      <c r="E32" s="331">
        <v>20</v>
      </c>
      <c r="F32" s="340"/>
      <c r="G32" s="342"/>
      <c r="H32" s="344"/>
      <c r="I32" s="342"/>
    </row>
    <row r="33" spans="1:29" x14ac:dyDescent="0.45">
      <c r="A33" s="348" t="s">
        <v>269</v>
      </c>
      <c r="B33" s="347" t="s">
        <v>143</v>
      </c>
      <c r="C33" s="336" t="s">
        <v>232</v>
      </c>
      <c r="D33" s="338">
        <v>67.86</v>
      </c>
      <c r="E33" s="346">
        <v>32</v>
      </c>
      <c r="F33" s="341"/>
      <c r="G33" s="343"/>
      <c r="H33" s="345"/>
      <c r="I33" s="343"/>
    </row>
    <row r="34" spans="1:29" x14ac:dyDescent="0.45">
      <c r="A34" s="348" t="s">
        <v>269</v>
      </c>
      <c r="B34" s="347" t="s">
        <v>144</v>
      </c>
      <c r="C34" s="335" t="s">
        <v>231</v>
      </c>
      <c r="D34" s="337">
        <v>165</v>
      </c>
      <c r="E34" s="331">
        <v>1</v>
      </c>
      <c r="F34" s="340"/>
      <c r="G34" s="342"/>
      <c r="H34" s="344"/>
      <c r="I34" s="342"/>
    </row>
    <row r="35" spans="1:29" x14ac:dyDescent="0.45">
      <c r="A35" s="348" t="s">
        <v>269</v>
      </c>
      <c r="B35" s="347" t="s">
        <v>145</v>
      </c>
      <c r="C35" s="336" t="s">
        <v>162</v>
      </c>
      <c r="D35" s="338">
        <v>30</v>
      </c>
      <c r="E35" s="346">
        <v>5</v>
      </c>
      <c r="F35" s="341"/>
      <c r="G35" s="343"/>
      <c r="H35" s="345"/>
      <c r="I35" s="343"/>
    </row>
    <row r="36" spans="1:29" x14ac:dyDescent="0.45">
      <c r="A36" s="348" t="s">
        <v>269</v>
      </c>
      <c r="B36" s="347" t="s">
        <v>146</v>
      </c>
      <c r="C36" s="335" t="s">
        <v>163</v>
      </c>
      <c r="D36" s="339">
        <v>30</v>
      </c>
      <c r="E36" s="332">
        <v>18</v>
      </c>
      <c r="F36" s="340"/>
      <c r="G36" s="342"/>
      <c r="H36" s="344"/>
      <c r="I36" s="342"/>
    </row>
    <row r="37" spans="1:29" ht="28.5" x14ac:dyDescent="0.45">
      <c r="A37" s="348" t="s">
        <v>269</v>
      </c>
      <c r="B37" s="347" t="s">
        <v>142</v>
      </c>
      <c r="C37" s="336" t="s">
        <v>170</v>
      </c>
      <c r="D37" s="338">
        <v>5.15</v>
      </c>
      <c r="E37" s="346">
        <v>160</v>
      </c>
      <c r="F37" s="341"/>
      <c r="G37" s="343"/>
      <c r="H37" s="345"/>
      <c r="I37" s="343"/>
      <c r="J37" s="87" t="s">
        <v>175</v>
      </c>
      <c r="K37" s="120" t="s">
        <v>183</v>
      </c>
    </row>
    <row r="38" spans="1:29" x14ac:dyDescent="0.45">
      <c r="A38" s="348" t="s">
        <v>269</v>
      </c>
      <c r="B38" s="347" t="s">
        <v>67</v>
      </c>
      <c r="C38" s="335" t="s">
        <v>68</v>
      </c>
      <c r="D38" s="337">
        <v>48.16</v>
      </c>
      <c r="E38" s="366" t="e">
        <f>#REF!</f>
        <v>#REF!</v>
      </c>
      <c r="F38" s="340"/>
      <c r="G38" s="342">
        <f t="shared" ref="G38:G44" si="3">F38*D38</f>
        <v>0</v>
      </c>
      <c r="H38" s="344">
        <f t="shared" ref="H38:H44" si="4">F38*12</f>
        <v>0</v>
      </c>
      <c r="I38" s="342">
        <f t="shared" ref="I38:I44" si="5">H38*D38</f>
        <v>0</v>
      </c>
      <c r="J38" s="123">
        <v>305</v>
      </c>
      <c r="K38" s="91" t="e">
        <f>E38*F38</f>
        <v>#REF!</v>
      </c>
    </row>
    <row r="39" spans="1:29" x14ac:dyDescent="0.45">
      <c r="A39" s="348" t="s">
        <v>269</v>
      </c>
      <c r="B39" s="347" t="s">
        <v>67</v>
      </c>
      <c r="C39" s="336" t="s">
        <v>68</v>
      </c>
      <c r="D39" s="360">
        <v>48.16</v>
      </c>
      <c r="E39" s="361" t="e">
        <f>#REF!</f>
        <v>#REF!</v>
      </c>
      <c r="F39" s="362"/>
      <c r="G39" s="363">
        <f t="shared" si="3"/>
        <v>0</v>
      </c>
      <c r="H39" s="365">
        <f t="shared" si="4"/>
        <v>0</v>
      </c>
      <c r="I39" s="363">
        <f t="shared" si="5"/>
        <v>0</v>
      </c>
      <c r="J39" s="370">
        <v>334.84</v>
      </c>
      <c r="K39" s="91">
        <f>D39*F39</f>
        <v>0</v>
      </c>
    </row>
    <row r="40" spans="1:29" x14ac:dyDescent="0.45">
      <c r="A40" s="348" t="s">
        <v>269</v>
      </c>
      <c r="B40" s="347" t="s">
        <v>86</v>
      </c>
      <c r="C40" s="359" t="s">
        <v>132</v>
      </c>
      <c r="D40" s="350">
        <v>29.84</v>
      </c>
      <c r="E40" s="352">
        <v>5</v>
      </c>
      <c r="F40" s="354"/>
      <c r="G40" s="355">
        <f t="shared" si="3"/>
        <v>0</v>
      </c>
      <c r="H40" s="356">
        <f t="shared" si="4"/>
        <v>0</v>
      </c>
      <c r="I40" s="355">
        <f t="shared" si="5"/>
        <v>0</v>
      </c>
      <c r="J40" s="371"/>
      <c r="K40" s="91">
        <v>0</v>
      </c>
    </row>
    <row r="41" spans="1:29" x14ac:dyDescent="0.45">
      <c r="A41" s="348" t="s">
        <v>269</v>
      </c>
      <c r="B41" s="347" t="s">
        <v>69</v>
      </c>
      <c r="C41" s="336" t="s">
        <v>70</v>
      </c>
      <c r="D41" s="338">
        <v>112.66</v>
      </c>
      <c r="E41" s="361" t="e">
        <f>#REF!</f>
        <v>#REF!</v>
      </c>
      <c r="F41" s="341"/>
      <c r="G41" s="343">
        <f t="shared" si="3"/>
        <v>0</v>
      </c>
      <c r="H41" s="345">
        <f t="shared" si="4"/>
        <v>0</v>
      </c>
      <c r="I41" s="343">
        <f t="shared" si="5"/>
        <v>0</v>
      </c>
      <c r="J41" s="103">
        <v>410</v>
      </c>
      <c r="K41" s="91">
        <f>D41*F41</f>
        <v>0</v>
      </c>
    </row>
    <row r="42" spans="1:29" x14ac:dyDescent="0.45">
      <c r="A42" s="348" t="s">
        <v>269</v>
      </c>
      <c r="B42" s="367" t="s">
        <v>69</v>
      </c>
      <c r="C42" s="364" t="s">
        <v>70</v>
      </c>
      <c r="D42" s="349">
        <v>112.66</v>
      </c>
      <c r="E42" s="351" t="e">
        <f>#REF!</f>
        <v>#REF!</v>
      </c>
      <c r="F42" s="353"/>
      <c r="G42" s="357">
        <f t="shared" si="3"/>
        <v>0</v>
      </c>
      <c r="H42" s="358">
        <f t="shared" si="4"/>
        <v>0</v>
      </c>
      <c r="I42" s="357">
        <f t="shared" si="5"/>
        <v>0</v>
      </c>
      <c r="J42" s="368">
        <v>423.66</v>
      </c>
      <c r="K42" s="91">
        <f>D42*F42</f>
        <v>0</v>
      </c>
    </row>
    <row r="43" spans="1:29" x14ac:dyDescent="0.45">
      <c r="A43" s="348" t="s">
        <v>269</v>
      </c>
      <c r="B43" s="347" t="s">
        <v>87</v>
      </c>
      <c r="C43" s="336" t="s">
        <v>133</v>
      </c>
      <c r="D43" s="360">
        <v>13.66</v>
      </c>
      <c r="E43" s="361">
        <v>5</v>
      </c>
      <c r="F43" s="362"/>
      <c r="G43" s="363">
        <f t="shared" si="3"/>
        <v>0</v>
      </c>
      <c r="H43" s="365">
        <f t="shared" si="4"/>
        <v>0</v>
      </c>
      <c r="I43" s="363">
        <f t="shared" si="5"/>
        <v>0</v>
      </c>
      <c r="J43" s="369"/>
      <c r="K43" s="91">
        <v>0</v>
      </c>
    </row>
    <row r="44" spans="1:29" x14ac:dyDescent="0.45">
      <c r="A44" s="348" t="s">
        <v>269</v>
      </c>
      <c r="B44" s="333" t="s">
        <v>136</v>
      </c>
      <c r="C44" s="335" t="s">
        <v>137</v>
      </c>
      <c r="D44" s="337" t="e">
        <f>#REF!</f>
        <v>#REF!</v>
      </c>
      <c r="E44" s="366" t="e">
        <f>#REF!</f>
        <v>#REF!</v>
      </c>
      <c r="F44" s="340"/>
      <c r="G44" s="342" t="e">
        <f t="shared" si="3"/>
        <v>#REF!</v>
      </c>
      <c r="H44" s="344">
        <f t="shared" si="4"/>
        <v>0</v>
      </c>
      <c r="I44" s="342" t="e">
        <f t="shared" si="5"/>
        <v>#REF!</v>
      </c>
      <c r="J44" s="134">
        <v>500</v>
      </c>
      <c r="K44" s="91" t="e">
        <f>D44*F44</f>
        <v>#REF!</v>
      </c>
    </row>
    <row r="45" spans="1:29" s="278" customFormat="1" ht="20" customHeight="1" x14ac:dyDescent="0.45">
      <c r="A45" s="348"/>
      <c r="B45" s="374" t="s">
        <v>23</v>
      </c>
      <c r="C45" s="375"/>
      <c r="D45" s="302" t="e">
        <f>SUM(D4:D44)</f>
        <v>#REF!</v>
      </c>
      <c r="E45" s="303" t="e">
        <f>SUM(E4:E44)</f>
        <v>#REF!</v>
      </c>
      <c r="F45" s="303">
        <f>SUM(F4:F44)</f>
        <v>4772.32</v>
      </c>
      <c r="G45" s="304" t="e">
        <f>SUM(G4:G44)</f>
        <v>#REF!</v>
      </c>
      <c r="H45" s="303">
        <f>SUM(H4:H44)</f>
        <v>57267.839999999997</v>
      </c>
      <c r="I45" s="304" t="e">
        <f>H45*D46</f>
        <v>#REF!</v>
      </c>
      <c r="J45" s="277"/>
      <c r="K45" s="277"/>
      <c r="L45" s="277"/>
      <c r="M45" s="277"/>
      <c r="N45" s="277"/>
      <c r="O45" s="277"/>
      <c r="P45" s="277"/>
      <c r="Q45" s="277"/>
      <c r="R45" s="277"/>
      <c r="S45" s="277"/>
      <c r="T45" s="277"/>
      <c r="U45" s="277"/>
      <c r="V45" s="277"/>
      <c r="W45" s="277"/>
      <c r="X45" s="277"/>
      <c r="Y45" s="277"/>
      <c r="Z45" s="277"/>
      <c r="AA45" s="277"/>
      <c r="AB45" s="277"/>
      <c r="AC45" s="277"/>
    </row>
    <row r="46" spans="1:29" s="271" customFormat="1" x14ac:dyDescent="0.45">
      <c r="B46" s="305"/>
      <c r="C46" s="311" t="s">
        <v>238</v>
      </c>
      <c r="D46" s="312" t="e">
        <f>D45/E45</f>
        <v>#REF!</v>
      </c>
      <c r="E46" s="306" t="s">
        <v>237</v>
      </c>
      <c r="F46" s="308" t="e">
        <f>(F45-E45)/E45</f>
        <v>#REF!</v>
      </c>
      <c r="G46" s="309" t="e">
        <f>G45-D45</f>
        <v>#REF!</v>
      </c>
      <c r="H46" s="306"/>
      <c r="I46" s="310" t="e">
        <f>G46*12</f>
        <v>#REF!</v>
      </c>
    </row>
    <row r="47" spans="1:29" s="271" customFormat="1" x14ac:dyDescent="0.45">
      <c r="B47" s="272"/>
      <c r="C47" s="272"/>
      <c r="D47" s="272"/>
      <c r="E47" s="272"/>
      <c r="F47" s="272"/>
      <c r="G47" s="272"/>
      <c r="H47" s="272"/>
      <c r="I47" s="272"/>
    </row>
    <row r="48" spans="1:29" s="271" customFormat="1" x14ac:dyDescent="0.45">
      <c r="H48" s="330"/>
    </row>
    <row r="49" spans="8:8" s="271" customFormat="1" x14ac:dyDescent="0.45">
      <c r="H49" s="330"/>
    </row>
    <row r="50" spans="8:8" s="271" customFormat="1" x14ac:dyDescent="0.45">
      <c r="H50" s="330"/>
    </row>
    <row r="51" spans="8:8" s="271" customFormat="1" x14ac:dyDescent="0.45">
      <c r="H51" s="330"/>
    </row>
    <row r="52" spans="8:8" s="271" customFormat="1" x14ac:dyDescent="0.45">
      <c r="H52" s="330"/>
    </row>
    <row r="53" spans="8:8" s="271" customFormat="1" x14ac:dyDescent="0.45">
      <c r="H53" s="330"/>
    </row>
    <row r="54" spans="8:8" s="271" customFormat="1" x14ac:dyDescent="0.45">
      <c r="H54" s="330"/>
    </row>
    <row r="55" spans="8:8" s="271" customFormat="1" x14ac:dyDescent="0.45">
      <c r="H55" s="330"/>
    </row>
    <row r="56" spans="8:8" s="271" customFormat="1" x14ac:dyDescent="0.45">
      <c r="H56" s="330"/>
    </row>
    <row r="57" spans="8:8" s="271" customFormat="1" x14ac:dyDescent="0.45">
      <c r="H57" s="330"/>
    </row>
    <row r="58" spans="8:8" s="271" customFormat="1" x14ac:dyDescent="0.45">
      <c r="H58" s="330"/>
    </row>
    <row r="59" spans="8:8" s="271" customFormat="1" x14ac:dyDescent="0.45">
      <c r="H59" s="330"/>
    </row>
    <row r="60" spans="8:8" s="271" customFormat="1" x14ac:dyDescent="0.45">
      <c r="H60" s="330"/>
    </row>
    <row r="61" spans="8:8" s="271" customFormat="1" x14ac:dyDescent="0.45">
      <c r="H61" s="330"/>
    </row>
    <row r="62" spans="8:8" s="271" customFormat="1" x14ac:dyDescent="0.45">
      <c r="H62" s="330"/>
    </row>
    <row r="63" spans="8:8" s="271" customFormat="1" x14ac:dyDescent="0.45">
      <c r="H63" s="330"/>
    </row>
    <row r="64" spans="8:8" s="271" customFormat="1" x14ac:dyDescent="0.45">
      <c r="H64" s="330"/>
    </row>
    <row r="65" spans="8:8" s="271" customFormat="1" x14ac:dyDescent="0.45">
      <c r="H65" s="330"/>
    </row>
    <row r="66" spans="8:8" s="271" customFormat="1" x14ac:dyDescent="0.45">
      <c r="H66" s="330"/>
    </row>
    <row r="67" spans="8:8" s="271" customFormat="1" x14ac:dyDescent="0.45">
      <c r="H67" s="330"/>
    </row>
    <row r="68" spans="8:8" s="271" customFormat="1" x14ac:dyDescent="0.45">
      <c r="H68" s="330"/>
    </row>
    <row r="69" spans="8:8" s="271" customFormat="1" x14ac:dyDescent="0.45">
      <c r="H69" s="330"/>
    </row>
    <row r="70" spans="8:8" s="271" customFormat="1" x14ac:dyDescent="0.45">
      <c r="H70" s="330"/>
    </row>
    <row r="71" spans="8:8" s="271" customFormat="1" x14ac:dyDescent="0.45">
      <c r="H71" s="330"/>
    </row>
    <row r="72" spans="8:8" s="271" customFormat="1" x14ac:dyDescent="0.45">
      <c r="H72" s="330"/>
    </row>
    <row r="73" spans="8:8" s="271" customFormat="1" x14ac:dyDescent="0.45">
      <c r="H73" s="330"/>
    </row>
    <row r="74" spans="8:8" s="271" customFormat="1" x14ac:dyDescent="0.45">
      <c r="H74" s="330"/>
    </row>
    <row r="75" spans="8:8" s="271" customFormat="1" x14ac:dyDescent="0.45">
      <c r="H75" s="330"/>
    </row>
    <row r="76" spans="8:8" s="271" customFormat="1" x14ac:dyDescent="0.45">
      <c r="H76" s="330"/>
    </row>
    <row r="77" spans="8:8" s="271" customFormat="1" x14ac:dyDescent="0.45">
      <c r="H77" s="330"/>
    </row>
    <row r="78" spans="8:8" s="271" customFormat="1" x14ac:dyDescent="0.45">
      <c r="H78" s="330"/>
    </row>
    <row r="79" spans="8:8" s="271" customFormat="1" x14ac:dyDescent="0.45">
      <c r="H79" s="330"/>
    </row>
    <row r="80" spans="8:8" s="271" customFormat="1" x14ac:dyDescent="0.45">
      <c r="H80" s="330"/>
    </row>
    <row r="81" spans="8:8" s="271" customFormat="1" x14ac:dyDescent="0.45">
      <c r="H81" s="330"/>
    </row>
    <row r="82" spans="8:8" s="271" customFormat="1" x14ac:dyDescent="0.45">
      <c r="H82" s="330"/>
    </row>
    <row r="83" spans="8:8" s="271" customFormat="1" x14ac:dyDescent="0.45">
      <c r="H83" s="330"/>
    </row>
    <row r="84" spans="8:8" s="271" customFormat="1" x14ac:dyDescent="0.45">
      <c r="H84" s="330"/>
    </row>
    <row r="85" spans="8:8" s="271" customFormat="1" x14ac:dyDescent="0.45">
      <c r="H85" s="330"/>
    </row>
    <row r="86" spans="8:8" s="271" customFormat="1" x14ac:dyDescent="0.45">
      <c r="H86" s="330"/>
    </row>
    <row r="87" spans="8:8" s="271" customFormat="1" x14ac:dyDescent="0.45">
      <c r="H87" s="330"/>
    </row>
    <row r="88" spans="8:8" s="271" customFormat="1" x14ac:dyDescent="0.45">
      <c r="H88" s="330"/>
    </row>
    <row r="89" spans="8:8" s="271" customFormat="1" x14ac:dyDescent="0.45">
      <c r="H89" s="330"/>
    </row>
    <row r="90" spans="8:8" s="271" customFormat="1" x14ac:dyDescent="0.45">
      <c r="H90" s="330"/>
    </row>
    <row r="91" spans="8:8" s="271" customFormat="1" x14ac:dyDescent="0.45">
      <c r="H91" s="330"/>
    </row>
    <row r="92" spans="8:8" s="271" customFormat="1" x14ac:dyDescent="0.45">
      <c r="H92" s="330"/>
    </row>
    <row r="93" spans="8:8" s="271" customFormat="1" x14ac:dyDescent="0.45">
      <c r="H93" s="330"/>
    </row>
    <row r="94" spans="8:8" s="271" customFormat="1" x14ac:dyDescent="0.45">
      <c r="H94" s="330"/>
    </row>
    <row r="95" spans="8:8" s="271" customFormat="1" x14ac:dyDescent="0.45">
      <c r="H95" s="330"/>
    </row>
    <row r="96" spans="8:8" s="271" customFormat="1" x14ac:dyDescent="0.45">
      <c r="H96" s="330"/>
    </row>
    <row r="97" spans="8:8" s="271" customFormat="1" x14ac:dyDescent="0.45">
      <c r="H97" s="330"/>
    </row>
    <row r="98" spans="8:8" s="271" customFormat="1" x14ac:dyDescent="0.45">
      <c r="H98" s="330"/>
    </row>
    <row r="99" spans="8:8" s="271" customFormat="1" x14ac:dyDescent="0.45">
      <c r="H99" s="330"/>
    </row>
    <row r="100" spans="8:8" s="271" customFormat="1" x14ac:dyDescent="0.45">
      <c r="H100" s="330"/>
    </row>
    <row r="101" spans="8:8" s="271" customFormat="1" x14ac:dyDescent="0.45">
      <c r="H101" s="330"/>
    </row>
    <row r="102" spans="8:8" s="271" customFormat="1" x14ac:dyDescent="0.45">
      <c r="H102" s="330"/>
    </row>
    <row r="103" spans="8:8" s="271" customFormat="1" x14ac:dyDescent="0.45">
      <c r="H103" s="330"/>
    </row>
    <row r="104" spans="8:8" s="271" customFormat="1" x14ac:dyDescent="0.45">
      <c r="H104" s="330"/>
    </row>
    <row r="105" spans="8:8" s="271" customFormat="1" x14ac:dyDescent="0.45">
      <c r="H105" s="330"/>
    </row>
    <row r="106" spans="8:8" s="271" customFormat="1" x14ac:dyDescent="0.45">
      <c r="H106" s="330"/>
    </row>
    <row r="107" spans="8:8" s="271" customFormat="1" x14ac:dyDescent="0.45">
      <c r="H107" s="330"/>
    </row>
    <row r="108" spans="8:8" s="271" customFormat="1" x14ac:dyDescent="0.45">
      <c r="H108" s="330"/>
    </row>
    <row r="109" spans="8:8" s="271" customFormat="1" x14ac:dyDescent="0.45">
      <c r="H109" s="330"/>
    </row>
  </sheetData>
  <mergeCells count="2">
    <mergeCell ref="B1:I2"/>
    <mergeCell ref="B45:C4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A1A98-5401-4489-B46C-9D503F56C000}">
  <dimension ref="A1:AB114"/>
  <sheetViews>
    <sheetView tabSelected="1" topLeftCell="A12" zoomScale="110" zoomScaleNormal="110" workbookViewId="0">
      <selection activeCell="F24" sqref="F24"/>
    </sheetView>
  </sheetViews>
  <sheetFormatPr defaultRowHeight="14.25" x14ac:dyDescent="0.45"/>
  <cols>
    <col min="1" max="1" width="3.59765625" style="271" customWidth="1"/>
    <col min="2" max="2" width="12.73046875" customWidth="1"/>
    <col min="3" max="3" width="56.73046875" customWidth="1"/>
    <col min="4" max="4" width="13.796875" customWidth="1"/>
    <col min="5" max="5" width="12.46484375" bestFit="1" customWidth="1"/>
    <col min="6" max="6" width="12.796875" customWidth="1"/>
    <col min="7" max="7" width="13.53125" bestFit="1" customWidth="1"/>
    <col min="8" max="8" width="10.86328125" customWidth="1"/>
    <col min="9" max="9" width="15.06640625" bestFit="1" customWidth="1"/>
    <col min="10" max="28" width="9.06640625" style="271"/>
  </cols>
  <sheetData>
    <row r="1" spans="1:28" ht="20" customHeight="1" x14ac:dyDescent="0.45">
      <c r="B1" s="376" t="s">
        <v>155</v>
      </c>
      <c r="C1" s="377"/>
      <c r="D1" s="377"/>
      <c r="E1" s="377"/>
      <c r="F1" s="377"/>
      <c r="G1" s="377"/>
      <c r="H1" s="377"/>
      <c r="I1" s="378"/>
    </row>
    <row r="2" spans="1:28" ht="20" customHeight="1" x14ac:dyDescent="0.45">
      <c r="B2" s="379"/>
      <c r="C2" s="373"/>
      <c r="D2" s="373"/>
      <c r="E2" s="373"/>
      <c r="F2" s="373"/>
      <c r="G2" s="373"/>
      <c r="H2" s="373"/>
      <c r="I2" s="380"/>
    </row>
    <row r="3" spans="1:28" ht="57" x14ac:dyDescent="0.45">
      <c r="B3" s="273" t="s">
        <v>139</v>
      </c>
      <c r="C3" s="273" t="s">
        <v>1</v>
      </c>
      <c r="D3" s="274" t="s">
        <v>233</v>
      </c>
      <c r="E3" s="274" t="s">
        <v>240</v>
      </c>
      <c r="F3" s="281" t="s">
        <v>239</v>
      </c>
      <c r="G3" s="141" t="s">
        <v>235</v>
      </c>
      <c r="H3" s="140" t="s">
        <v>234</v>
      </c>
      <c r="I3" s="140" t="s">
        <v>236</v>
      </c>
    </row>
    <row r="4" spans="1:28" s="278" customFormat="1" ht="20" customHeight="1" x14ac:dyDescent="0.45">
      <c r="A4" s="277"/>
      <c r="B4" s="282" t="s">
        <v>111</v>
      </c>
      <c r="C4" s="282" t="s">
        <v>114</v>
      </c>
      <c r="D4" s="283">
        <v>240.97</v>
      </c>
      <c r="E4" s="293">
        <v>812</v>
      </c>
      <c r="F4" s="295">
        <v>925</v>
      </c>
      <c r="G4" s="284">
        <f t="shared" ref="G4:G8" si="0">F4*D4</f>
        <v>222897.25</v>
      </c>
      <c r="H4" s="285">
        <f t="shared" ref="H4:H8" si="1">F4*12</f>
        <v>11100</v>
      </c>
      <c r="I4" s="284">
        <f t="shared" ref="I4:I8" si="2">H4*D4</f>
        <v>2674767</v>
      </c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7"/>
      <c r="U4" s="277"/>
      <c r="V4" s="277"/>
      <c r="W4" s="277"/>
      <c r="X4" s="277"/>
      <c r="Y4" s="277"/>
      <c r="Z4" s="277"/>
      <c r="AA4" s="277"/>
      <c r="AB4" s="277"/>
    </row>
    <row r="5" spans="1:28" s="278" customFormat="1" ht="20" customHeight="1" x14ac:dyDescent="0.45">
      <c r="A5" s="277"/>
      <c r="B5" s="286" t="s">
        <v>112</v>
      </c>
      <c r="C5" s="286" t="s">
        <v>115</v>
      </c>
      <c r="D5" s="287">
        <v>240.97</v>
      </c>
      <c r="E5" s="288">
        <v>66</v>
      </c>
      <c r="F5" s="296">
        <v>11</v>
      </c>
      <c r="G5" s="243">
        <f t="shared" si="0"/>
        <v>2650.67</v>
      </c>
      <c r="H5" s="289">
        <f t="shared" si="1"/>
        <v>132</v>
      </c>
      <c r="I5" s="243">
        <f t="shared" si="2"/>
        <v>31808.04</v>
      </c>
      <c r="J5" s="277"/>
      <c r="K5" s="277"/>
      <c r="L5" s="277"/>
      <c r="M5" s="277"/>
      <c r="N5" s="277"/>
      <c r="O5" s="277"/>
      <c r="P5" s="277"/>
      <c r="Q5" s="277"/>
      <c r="R5" s="277"/>
      <c r="S5" s="277"/>
      <c r="T5" s="277"/>
      <c r="U5" s="277"/>
      <c r="V5" s="277"/>
      <c r="W5" s="277"/>
      <c r="X5" s="277"/>
      <c r="Y5" s="277"/>
      <c r="Z5" s="277"/>
      <c r="AA5" s="277"/>
      <c r="AB5" s="277"/>
    </row>
    <row r="6" spans="1:28" s="278" customFormat="1" ht="20" customHeight="1" x14ac:dyDescent="0.45">
      <c r="A6" s="277"/>
      <c r="B6" s="282" t="s">
        <v>113</v>
      </c>
      <c r="C6" s="292" t="s">
        <v>116</v>
      </c>
      <c r="D6" s="283">
        <v>325.98</v>
      </c>
      <c r="E6" s="293">
        <v>78</v>
      </c>
      <c r="F6" s="295">
        <v>65</v>
      </c>
      <c r="G6" s="284">
        <f t="shared" si="0"/>
        <v>21188.7</v>
      </c>
      <c r="H6" s="285">
        <f t="shared" si="1"/>
        <v>780</v>
      </c>
      <c r="I6" s="284">
        <f t="shared" si="2"/>
        <v>254264.40000000002</v>
      </c>
      <c r="J6" s="277"/>
      <c r="K6" s="277"/>
      <c r="L6" s="277"/>
      <c r="M6" s="277"/>
      <c r="N6" s="277"/>
      <c r="O6" s="277"/>
      <c r="P6" s="277"/>
      <c r="Q6" s="277"/>
      <c r="R6" s="277"/>
      <c r="S6" s="277"/>
      <c r="T6" s="277"/>
      <c r="U6" s="277"/>
      <c r="V6" s="277"/>
      <c r="W6" s="277"/>
      <c r="X6" s="277"/>
      <c r="Y6" s="277"/>
      <c r="Z6" s="277"/>
      <c r="AA6" s="277"/>
      <c r="AB6" s="277"/>
    </row>
    <row r="7" spans="1:28" s="278" customFormat="1" ht="20" customHeight="1" x14ac:dyDescent="0.45">
      <c r="A7" s="277"/>
      <c r="B7" s="286" t="s">
        <v>117</v>
      </c>
      <c r="C7" s="286" t="s">
        <v>118</v>
      </c>
      <c r="D7" s="287">
        <v>325.98</v>
      </c>
      <c r="E7" s="288">
        <v>5</v>
      </c>
      <c r="F7" s="296">
        <v>2</v>
      </c>
      <c r="G7" s="243">
        <f t="shared" si="0"/>
        <v>651.96</v>
      </c>
      <c r="H7" s="289">
        <f t="shared" si="1"/>
        <v>24</v>
      </c>
      <c r="I7" s="243">
        <f t="shared" si="2"/>
        <v>7823.52</v>
      </c>
      <c r="J7" s="277"/>
      <c r="K7" s="277"/>
      <c r="L7" s="277"/>
      <c r="M7" s="277"/>
      <c r="N7" s="277"/>
      <c r="O7" s="277"/>
      <c r="P7" s="277"/>
      <c r="Q7" s="277"/>
      <c r="R7" s="277"/>
      <c r="S7" s="277"/>
      <c r="T7" s="277"/>
      <c r="U7" s="277"/>
      <c r="V7" s="277"/>
      <c r="W7" s="277"/>
      <c r="X7" s="277"/>
      <c r="Y7" s="277"/>
      <c r="Z7" s="277"/>
      <c r="AA7" s="277"/>
      <c r="AB7" s="277"/>
    </row>
    <row r="8" spans="1:28" s="278" customFormat="1" ht="20" customHeight="1" x14ac:dyDescent="0.45">
      <c r="A8" s="277"/>
      <c r="B8" s="282" t="s">
        <v>119</v>
      </c>
      <c r="C8" s="290" t="s">
        <v>120</v>
      </c>
      <c r="D8" s="291">
        <v>694.4</v>
      </c>
      <c r="E8" s="294">
        <v>6</v>
      </c>
      <c r="F8" s="295">
        <v>12</v>
      </c>
      <c r="G8" s="284">
        <f t="shared" si="0"/>
        <v>8332.7999999999993</v>
      </c>
      <c r="H8" s="285">
        <f t="shared" si="1"/>
        <v>144</v>
      </c>
      <c r="I8" s="284">
        <f t="shared" si="2"/>
        <v>99993.599999999991</v>
      </c>
      <c r="J8" s="277"/>
      <c r="K8" s="277"/>
      <c r="L8" s="277"/>
      <c r="M8" s="277"/>
      <c r="N8" s="277"/>
      <c r="O8" s="277"/>
      <c r="P8" s="277"/>
      <c r="Q8" s="277"/>
      <c r="R8" s="277"/>
      <c r="S8" s="277"/>
      <c r="T8" s="277"/>
      <c r="U8" s="277"/>
      <c r="V8" s="277"/>
      <c r="W8" s="277"/>
      <c r="X8" s="277"/>
      <c r="Y8" s="277"/>
      <c r="Z8" s="277"/>
      <c r="AA8" s="277"/>
      <c r="AB8" s="277"/>
    </row>
    <row r="9" spans="1:28" s="278" customFormat="1" ht="20" customHeight="1" x14ac:dyDescent="0.45">
      <c r="A9" s="277"/>
      <c r="B9" s="374" t="s">
        <v>23</v>
      </c>
      <c r="C9" s="375"/>
      <c r="D9" s="302">
        <f>SUMPRODUCT(D4:D8,E4:E8)</f>
        <v>242794.39999999997</v>
      </c>
      <c r="E9" s="303">
        <f>SUM(E4:E8)</f>
        <v>967</v>
      </c>
      <c r="F9" s="303">
        <f>SUM(F4:F8)</f>
        <v>1015</v>
      </c>
      <c r="G9" s="304">
        <f>SUM(G4:G8)</f>
        <v>255721.38</v>
      </c>
      <c r="H9" s="303">
        <f>SUM(H4:H8)</f>
        <v>12180</v>
      </c>
      <c r="I9" s="304">
        <f>H9*D10</f>
        <v>3058154.9038262665</v>
      </c>
      <c r="J9" s="277"/>
      <c r="K9" s="277"/>
      <c r="L9" s="277"/>
      <c r="M9" s="277"/>
      <c r="N9" s="277"/>
      <c r="O9" s="277"/>
      <c r="P9" s="277"/>
      <c r="Q9" s="277"/>
      <c r="R9" s="277"/>
      <c r="S9" s="277"/>
      <c r="T9" s="277"/>
      <c r="U9" s="277"/>
      <c r="V9" s="277"/>
      <c r="W9" s="277"/>
      <c r="X9" s="277"/>
      <c r="Y9" s="277"/>
      <c r="Z9" s="277"/>
      <c r="AA9" s="277"/>
      <c r="AB9" s="277"/>
    </row>
    <row r="10" spans="1:28" s="271" customFormat="1" x14ac:dyDescent="0.45">
      <c r="B10" s="305"/>
      <c r="C10" s="306" t="s">
        <v>238</v>
      </c>
      <c r="D10" s="307">
        <f>D9/E9</f>
        <v>251.0800413650465</v>
      </c>
      <c r="E10" s="306" t="s">
        <v>237</v>
      </c>
      <c r="F10" s="308">
        <f>(F9-E9)/E9</f>
        <v>4.963805584281282E-2</v>
      </c>
      <c r="G10" s="309">
        <f>G9-D9</f>
        <v>12926.98000000004</v>
      </c>
      <c r="H10" s="306"/>
      <c r="I10" s="310">
        <f>G10*12</f>
        <v>155123.76000000047</v>
      </c>
    </row>
    <row r="11" spans="1:28" s="271" customFormat="1" x14ac:dyDescent="0.45">
      <c r="B11" s="272"/>
      <c r="C11" s="272"/>
      <c r="D11" s="272"/>
      <c r="E11" s="272"/>
      <c r="F11" s="272"/>
      <c r="G11" s="272"/>
      <c r="H11" s="272"/>
      <c r="I11" s="272"/>
    </row>
    <row r="12" spans="1:28" ht="20" customHeight="1" x14ac:dyDescent="0.45">
      <c r="B12" s="376" t="s">
        <v>121</v>
      </c>
      <c r="C12" s="377"/>
      <c r="D12" s="377"/>
      <c r="E12" s="377"/>
      <c r="F12" s="377"/>
      <c r="G12" s="377"/>
      <c r="H12" s="377"/>
      <c r="I12" s="378"/>
    </row>
    <row r="13" spans="1:28" ht="20" customHeight="1" x14ac:dyDescent="0.45">
      <c r="B13" s="379"/>
      <c r="C13" s="373"/>
      <c r="D13" s="373"/>
      <c r="E13" s="373"/>
      <c r="F13" s="373"/>
      <c r="G13" s="373"/>
      <c r="H13" s="373"/>
      <c r="I13" s="380"/>
    </row>
    <row r="14" spans="1:28" ht="57" x14ac:dyDescent="0.45">
      <c r="B14" s="273" t="s">
        <v>139</v>
      </c>
      <c r="C14" s="273" t="s">
        <v>1</v>
      </c>
      <c r="D14" s="274" t="s">
        <v>233</v>
      </c>
      <c r="E14" s="274" t="s">
        <v>240</v>
      </c>
      <c r="F14" s="281" t="s">
        <v>239</v>
      </c>
      <c r="G14" s="141" t="s">
        <v>235</v>
      </c>
      <c r="H14" s="140" t="s">
        <v>234</v>
      </c>
      <c r="I14" s="140" t="s">
        <v>236</v>
      </c>
    </row>
    <row r="15" spans="1:28" s="278" customFormat="1" ht="20" customHeight="1" x14ac:dyDescent="0.45">
      <c r="A15" s="277"/>
      <c r="B15" s="313" t="s">
        <v>122</v>
      </c>
      <c r="C15" s="313" t="s">
        <v>124</v>
      </c>
      <c r="D15" s="283">
        <v>165.8</v>
      </c>
      <c r="E15" s="293">
        <v>17</v>
      </c>
      <c r="F15" s="295">
        <v>6.5</v>
      </c>
      <c r="G15" s="284">
        <f t="shared" ref="G15" si="3">F15*D15</f>
        <v>1077.7</v>
      </c>
      <c r="H15" s="285">
        <f t="shared" ref="H15" si="4">F15*12</f>
        <v>78</v>
      </c>
      <c r="I15" s="284">
        <f t="shared" ref="I15" si="5">H15*D15</f>
        <v>12932.400000000001</v>
      </c>
      <c r="J15" s="277"/>
      <c r="K15" s="277"/>
      <c r="L15" s="277"/>
      <c r="M15" s="277"/>
      <c r="N15" s="277"/>
      <c r="O15" s="277"/>
      <c r="P15" s="277"/>
      <c r="Q15" s="277"/>
      <c r="R15" s="277"/>
      <c r="S15" s="277"/>
      <c r="T15" s="277"/>
      <c r="U15" s="277"/>
      <c r="V15" s="277"/>
      <c r="W15" s="277"/>
      <c r="X15" s="277"/>
      <c r="Y15" s="277"/>
      <c r="Z15" s="277"/>
      <c r="AA15" s="277"/>
      <c r="AB15" s="277"/>
    </row>
    <row r="16" spans="1:28" s="278" customFormat="1" ht="20" customHeight="1" x14ac:dyDescent="0.45">
      <c r="A16" s="277"/>
      <c r="B16" s="374" t="s">
        <v>23</v>
      </c>
      <c r="C16" s="375"/>
      <c r="D16" s="302">
        <f>SUMPRODUCT(D15,E15)</f>
        <v>2818.6000000000004</v>
      </c>
      <c r="E16" s="303">
        <f>SUM(E15)</f>
        <v>17</v>
      </c>
      <c r="F16" s="303">
        <f>SUM(F15)</f>
        <v>6.5</v>
      </c>
      <c r="G16" s="304">
        <f>SUM(G15)</f>
        <v>1077.7</v>
      </c>
      <c r="H16" s="303">
        <f>SUM(H15)</f>
        <v>78</v>
      </c>
      <c r="I16" s="304">
        <f>H16*D17</f>
        <v>760.7294117647059</v>
      </c>
      <c r="J16" s="277"/>
      <c r="K16" s="277"/>
      <c r="L16" s="277"/>
      <c r="M16" s="277"/>
      <c r="N16" s="277"/>
      <c r="O16" s="277"/>
      <c r="P16" s="277"/>
      <c r="Q16" s="277"/>
      <c r="R16" s="277"/>
      <c r="S16" s="277"/>
      <c r="T16" s="277"/>
      <c r="U16" s="277"/>
      <c r="V16" s="277"/>
      <c r="W16" s="277"/>
      <c r="X16" s="277"/>
      <c r="Y16" s="277"/>
      <c r="Z16" s="277"/>
      <c r="AA16" s="277"/>
      <c r="AB16" s="277"/>
    </row>
    <row r="17" spans="1:28" s="271" customFormat="1" x14ac:dyDescent="0.45">
      <c r="A17" s="299"/>
      <c r="B17" s="305"/>
      <c r="C17" s="306" t="s">
        <v>238</v>
      </c>
      <c r="D17" s="307">
        <f>D15/E15</f>
        <v>9.7529411764705891</v>
      </c>
      <c r="E17" s="306" t="s">
        <v>237</v>
      </c>
      <c r="F17" s="308">
        <f>(F15-E15)/E15</f>
        <v>-0.61764705882352944</v>
      </c>
      <c r="G17" s="309">
        <f>G16-D16</f>
        <v>-1740.9000000000003</v>
      </c>
      <c r="H17" s="306"/>
      <c r="I17" s="310">
        <f>G17*12</f>
        <v>-20890.800000000003</v>
      </c>
    </row>
    <row r="18" spans="1:28" s="271" customFormat="1" x14ac:dyDescent="0.45">
      <c r="A18" s="299"/>
      <c r="B18" s="300"/>
      <c r="C18" s="300"/>
      <c r="D18" s="300"/>
      <c r="E18" s="301"/>
      <c r="F18" s="299"/>
      <c r="G18" s="301"/>
    </row>
    <row r="19" spans="1:28" ht="20" customHeight="1" x14ac:dyDescent="0.45">
      <c r="B19" s="376" t="s">
        <v>327</v>
      </c>
      <c r="C19" s="377"/>
      <c r="D19" s="377"/>
      <c r="E19" s="377"/>
      <c r="F19" s="377"/>
      <c r="G19" s="377"/>
      <c r="H19" s="377"/>
      <c r="I19" s="378"/>
    </row>
    <row r="20" spans="1:28" ht="20" customHeight="1" x14ac:dyDescent="0.45">
      <c r="B20" s="379"/>
      <c r="C20" s="373"/>
      <c r="D20" s="373"/>
      <c r="E20" s="373"/>
      <c r="F20" s="373"/>
      <c r="G20" s="373"/>
      <c r="H20" s="373"/>
      <c r="I20" s="380"/>
    </row>
    <row r="21" spans="1:28" ht="57" x14ac:dyDescent="0.45">
      <c r="B21" s="273" t="s">
        <v>139</v>
      </c>
      <c r="C21" s="273" t="s">
        <v>1</v>
      </c>
      <c r="D21" s="274" t="s">
        <v>233</v>
      </c>
      <c r="E21" s="274" t="s">
        <v>240</v>
      </c>
      <c r="F21" s="281" t="s">
        <v>239</v>
      </c>
      <c r="G21" s="141" t="s">
        <v>235</v>
      </c>
      <c r="H21" s="140" t="s">
        <v>234</v>
      </c>
      <c r="I21" s="140" t="s">
        <v>236</v>
      </c>
    </row>
    <row r="22" spans="1:28" s="278" customFormat="1" ht="20" customHeight="1" x14ac:dyDescent="0.45">
      <c r="A22" s="277"/>
      <c r="B22" s="313" t="s">
        <v>328</v>
      </c>
      <c r="C22" s="313" t="s">
        <v>329</v>
      </c>
      <c r="D22" s="283">
        <v>61</v>
      </c>
      <c r="E22" s="293">
        <v>0</v>
      </c>
      <c r="F22" s="295">
        <v>22</v>
      </c>
      <c r="G22" s="284">
        <f t="shared" ref="G22" si="6">F22*D22</f>
        <v>1342</v>
      </c>
      <c r="H22" s="285">
        <f t="shared" ref="H22" si="7">F22*12</f>
        <v>264</v>
      </c>
      <c r="I22" s="284">
        <f t="shared" ref="I22" si="8">H22*D22</f>
        <v>16104</v>
      </c>
      <c r="J22" s="277"/>
      <c r="K22" s="277"/>
      <c r="L22" s="277"/>
      <c r="M22" s="277"/>
      <c r="N22" s="277"/>
      <c r="O22" s="277"/>
      <c r="P22" s="277"/>
      <c r="Q22" s="277"/>
      <c r="R22" s="277"/>
      <c r="S22" s="277"/>
      <c r="T22" s="277"/>
      <c r="U22" s="277"/>
      <c r="V22" s="277"/>
      <c r="W22" s="277"/>
      <c r="X22" s="277"/>
      <c r="Y22" s="277"/>
      <c r="Z22" s="277"/>
      <c r="AA22" s="277"/>
      <c r="AB22" s="277"/>
    </row>
    <row r="23" spans="1:28" s="278" customFormat="1" ht="20" customHeight="1" x14ac:dyDescent="0.45">
      <c r="A23" s="277"/>
      <c r="B23" s="313" t="s">
        <v>331</v>
      </c>
      <c r="C23" s="313" t="s">
        <v>330</v>
      </c>
      <c r="D23" s="283">
        <v>61</v>
      </c>
      <c r="E23" s="293">
        <v>0</v>
      </c>
      <c r="F23" s="295">
        <v>11</v>
      </c>
      <c r="G23" s="284">
        <f t="shared" ref="G23" si="9">F23*D23</f>
        <v>671</v>
      </c>
      <c r="H23" s="285">
        <f t="shared" ref="H23" si="10">F23*12</f>
        <v>132</v>
      </c>
      <c r="I23" s="284">
        <f t="shared" ref="I23" si="11">H23*D23</f>
        <v>8052</v>
      </c>
      <c r="J23" s="277"/>
      <c r="K23" s="277"/>
      <c r="L23" s="277"/>
      <c r="M23" s="277"/>
      <c r="N23" s="277"/>
      <c r="O23" s="277"/>
      <c r="P23" s="277"/>
      <c r="Q23" s="277"/>
      <c r="R23" s="277"/>
      <c r="S23" s="277"/>
      <c r="T23" s="277"/>
      <c r="U23" s="277"/>
      <c r="V23" s="277"/>
      <c r="W23" s="277"/>
      <c r="X23" s="277"/>
      <c r="Y23" s="277"/>
      <c r="Z23" s="277"/>
      <c r="AA23" s="277"/>
      <c r="AB23" s="277"/>
    </row>
    <row r="24" spans="1:28" s="278" customFormat="1" ht="20" customHeight="1" x14ac:dyDescent="0.45">
      <c r="A24" s="277"/>
      <c r="B24" s="374" t="s">
        <v>23</v>
      </c>
      <c r="C24" s="375"/>
      <c r="D24" s="302">
        <f>SUMPRODUCT(D22,E22)</f>
        <v>0</v>
      </c>
      <c r="E24" s="303">
        <f>SUM(E22)</f>
        <v>0</v>
      </c>
      <c r="F24" s="303">
        <f>SUM(F22)</f>
        <v>22</v>
      </c>
      <c r="G24" s="304">
        <f>SUM(G22)</f>
        <v>1342</v>
      </c>
      <c r="H24" s="303">
        <f>SUM(H22)</f>
        <v>264</v>
      </c>
      <c r="I24" s="304" t="e">
        <f>H24*D25</f>
        <v>#DIV/0!</v>
      </c>
      <c r="J24" s="277"/>
      <c r="K24" s="277"/>
      <c r="L24" s="277"/>
      <c r="M24" s="277"/>
      <c r="N24" s="277"/>
      <c r="O24" s="277"/>
      <c r="P24" s="277"/>
      <c r="Q24" s="277"/>
      <c r="R24" s="277"/>
      <c r="S24" s="277"/>
      <c r="T24" s="277"/>
      <c r="U24" s="277"/>
      <c r="V24" s="277"/>
      <c r="W24" s="277"/>
      <c r="X24" s="277"/>
      <c r="Y24" s="277"/>
      <c r="Z24" s="277"/>
      <c r="AA24" s="277"/>
      <c r="AB24" s="277"/>
    </row>
    <row r="25" spans="1:28" s="271" customFormat="1" x14ac:dyDescent="0.45">
      <c r="A25" s="299"/>
      <c r="B25" s="305"/>
      <c r="C25" s="306" t="s">
        <v>238</v>
      </c>
      <c r="D25" s="307" t="e">
        <f>D22/E22</f>
        <v>#DIV/0!</v>
      </c>
      <c r="E25" s="306" t="s">
        <v>237</v>
      </c>
      <c r="F25" s="308" t="e">
        <f>(F22-E22)/E22</f>
        <v>#DIV/0!</v>
      </c>
      <c r="G25" s="309">
        <f>G24-D24</f>
        <v>1342</v>
      </c>
      <c r="H25" s="306"/>
      <c r="I25" s="310">
        <f>G25*12</f>
        <v>16104</v>
      </c>
    </row>
    <row r="26" spans="1:28" s="271" customFormat="1" x14ac:dyDescent="0.45"/>
    <row r="27" spans="1:28" s="271" customFormat="1" x14ac:dyDescent="0.45"/>
    <row r="28" spans="1:28" s="271" customFormat="1" x14ac:dyDescent="0.45"/>
    <row r="29" spans="1:28" s="271" customFormat="1" x14ac:dyDescent="0.45"/>
    <row r="30" spans="1:28" s="271" customFormat="1" x14ac:dyDescent="0.45"/>
    <row r="31" spans="1:28" s="271" customFormat="1" x14ac:dyDescent="0.45"/>
    <row r="32" spans="1:28" s="271" customFormat="1" x14ac:dyDescent="0.45"/>
    <row r="33" s="271" customFormat="1" x14ac:dyDescent="0.45"/>
    <row r="34" s="271" customFormat="1" x14ac:dyDescent="0.45"/>
    <row r="35" s="271" customFormat="1" x14ac:dyDescent="0.45"/>
    <row r="36" s="271" customFormat="1" x14ac:dyDescent="0.45"/>
    <row r="37" s="271" customFormat="1" x14ac:dyDescent="0.45"/>
    <row r="38" s="271" customFormat="1" x14ac:dyDescent="0.45"/>
    <row r="39" s="271" customFormat="1" x14ac:dyDescent="0.45"/>
    <row r="40" s="271" customFormat="1" x14ac:dyDescent="0.45"/>
    <row r="41" s="271" customFormat="1" x14ac:dyDescent="0.45"/>
    <row r="42" s="271" customFormat="1" x14ac:dyDescent="0.45"/>
    <row r="43" s="271" customFormat="1" x14ac:dyDescent="0.45"/>
    <row r="44" s="271" customFormat="1" x14ac:dyDescent="0.45"/>
    <row r="45" s="271" customFormat="1" x14ac:dyDescent="0.45"/>
    <row r="46" s="271" customFormat="1" x14ac:dyDescent="0.45"/>
    <row r="47" s="271" customFormat="1" x14ac:dyDescent="0.45"/>
    <row r="48" s="271" customFormat="1" x14ac:dyDescent="0.45"/>
    <row r="49" s="271" customFormat="1" x14ac:dyDescent="0.45"/>
    <row r="50" s="271" customFormat="1" x14ac:dyDescent="0.45"/>
    <row r="51" s="271" customFormat="1" x14ac:dyDescent="0.45"/>
    <row r="52" s="271" customFormat="1" x14ac:dyDescent="0.45"/>
    <row r="53" s="271" customFormat="1" x14ac:dyDescent="0.45"/>
    <row r="54" s="271" customFormat="1" x14ac:dyDescent="0.45"/>
    <row r="55" s="271" customFormat="1" x14ac:dyDescent="0.45"/>
    <row r="56" s="271" customFormat="1" x14ac:dyDescent="0.45"/>
    <row r="57" s="271" customFormat="1" x14ac:dyDescent="0.45"/>
    <row r="58" s="271" customFormat="1" x14ac:dyDescent="0.45"/>
    <row r="59" s="271" customFormat="1" x14ac:dyDescent="0.45"/>
    <row r="60" s="271" customFormat="1" x14ac:dyDescent="0.45"/>
    <row r="61" s="271" customFormat="1" x14ac:dyDescent="0.45"/>
    <row r="62" s="271" customFormat="1" x14ac:dyDescent="0.45"/>
    <row r="63" s="271" customFormat="1" x14ac:dyDescent="0.45"/>
    <row r="64" s="271" customFormat="1" x14ac:dyDescent="0.45"/>
    <row r="65" s="271" customFormat="1" x14ac:dyDescent="0.45"/>
    <row r="66" s="271" customFormat="1" x14ac:dyDescent="0.45"/>
    <row r="67" s="271" customFormat="1" x14ac:dyDescent="0.45"/>
    <row r="68" s="271" customFormat="1" x14ac:dyDescent="0.45"/>
    <row r="69" s="271" customFormat="1" x14ac:dyDescent="0.45"/>
    <row r="70" s="271" customFormat="1" x14ac:dyDescent="0.45"/>
    <row r="71" s="271" customFormat="1" x14ac:dyDescent="0.45"/>
    <row r="72" s="271" customFormat="1" x14ac:dyDescent="0.45"/>
    <row r="73" s="271" customFormat="1" x14ac:dyDescent="0.45"/>
    <row r="74" s="271" customFormat="1" x14ac:dyDescent="0.45"/>
    <row r="75" s="271" customFormat="1" x14ac:dyDescent="0.45"/>
    <row r="76" s="271" customFormat="1" x14ac:dyDescent="0.45"/>
    <row r="77" s="271" customFormat="1" x14ac:dyDescent="0.45"/>
    <row r="78" s="271" customFormat="1" x14ac:dyDescent="0.45"/>
    <row r="79" s="271" customFormat="1" x14ac:dyDescent="0.45"/>
    <row r="80" s="271" customFormat="1" x14ac:dyDescent="0.45"/>
    <row r="81" s="271" customFormat="1" x14ac:dyDescent="0.45"/>
    <row r="82" s="271" customFormat="1" x14ac:dyDescent="0.45"/>
    <row r="83" s="271" customFormat="1" x14ac:dyDescent="0.45"/>
    <row r="84" s="271" customFormat="1" x14ac:dyDescent="0.45"/>
    <row r="85" s="271" customFormat="1" x14ac:dyDescent="0.45"/>
    <row r="86" s="271" customFormat="1" x14ac:dyDescent="0.45"/>
    <row r="87" s="271" customFormat="1" x14ac:dyDescent="0.45"/>
    <row r="88" s="271" customFormat="1" x14ac:dyDescent="0.45"/>
    <row r="89" s="271" customFormat="1" x14ac:dyDescent="0.45"/>
    <row r="90" s="271" customFormat="1" x14ac:dyDescent="0.45"/>
    <row r="91" s="271" customFormat="1" x14ac:dyDescent="0.45"/>
    <row r="92" s="271" customFormat="1" x14ac:dyDescent="0.45"/>
    <row r="93" s="271" customFormat="1" x14ac:dyDescent="0.45"/>
    <row r="94" s="271" customFormat="1" x14ac:dyDescent="0.45"/>
    <row r="95" s="271" customFormat="1" x14ac:dyDescent="0.45"/>
    <row r="96" s="271" customFormat="1" x14ac:dyDescent="0.45"/>
    <row r="97" s="271" customFormat="1" x14ac:dyDescent="0.45"/>
    <row r="98" s="271" customFormat="1" x14ac:dyDescent="0.45"/>
    <row r="99" s="271" customFormat="1" x14ac:dyDescent="0.45"/>
    <row r="100" s="271" customFormat="1" x14ac:dyDescent="0.45"/>
    <row r="101" s="271" customFormat="1" x14ac:dyDescent="0.45"/>
    <row r="102" s="271" customFormat="1" x14ac:dyDescent="0.45"/>
    <row r="103" s="271" customFormat="1" x14ac:dyDescent="0.45"/>
    <row r="104" s="271" customFormat="1" x14ac:dyDescent="0.45"/>
    <row r="105" s="271" customFormat="1" x14ac:dyDescent="0.45"/>
    <row r="106" s="271" customFormat="1" x14ac:dyDescent="0.45"/>
    <row r="107" s="271" customFormat="1" x14ac:dyDescent="0.45"/>
    <row r="108" s="271" customFormat="1" x14ac:dyDescent="0.45"/>
    <row r="109" s="271" customFormat="1" x14ac:dyDescent="0.45"/>
    <row r="110" s="271" customFormat="1" x14ac:dyDescent="0.45"/>
    <row r="111" s="271" customFormat="1" x14ac:dyDescent="0.45"/>
    <row r="112" s="271" customFormat="1" x14ac:dyDescent="0.45"/>
    <row r="113" s="271" customFormat="1" x14ac:dyDescent="0.45"/>
    <row r="114" s="271" customFormat="1" x14ac:dyDescent="0.45"/>
  </sheetData>
  <mergeCells count="6">
    <mergeCell ref="B24:C24"/>
    <mergeCell ref="B12:I13"/>
    <mergeCell ref="B16:C16"/>
    <mergeCell ref="B1:I2"/>
    <mergeCell ref="B9:C9"/>
    <mergeCell ref="B19:I20"/>
  </mergeCells>
  <conditionalFormatting sqref="G17 G10">
    <cfRule type="cellIs" dxfId="1" priority="2" operator="lessThan">
      <formula>0</formula>
    </cfRule>
  </conditionalFormatting>
  <conditionalFormatting sqref="G25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850FB-7E18-45F0-A765-41CD090C9BB8}">
  <dimension ref="A1:X79"/>
  <sheetViews>
    <sheetView topLeftCell="A34" zoomScale="120" zoomScaleNormal="120" workbookViewId="0">
      <selection activeCell="B33" sqref="B33"/>
    </sheetView>
  </sheetViews>
  <sheetFormatPr defaultRowHeight="14.25" x14ac:dyDescent="0.45"/>
  <cols>
    <col min="1" max="1" width="5.59765625" style="271" customWidth="1"/>
    <col min="2" max="2" width="90.265625" bestFit="1" customWidth="1"/>
    <col min="3" max="3" width="15.06640625" bestFit="1" customWidth="1"/>
    <col min="4" max="4" width="14.265625" bestFit="1" customWidth="1"/>
    <col min="5" max="5" width="15.59765625" customWidth="1"/>
    <col min="6" max="6" width="15.59765625" style="271" customWidth="1"/>
    <col min="7" max="24" width="9.06640625" style="271"/>
  </cols>
  <sheetData>
    <row r="1" spans="1:24" ht="20" customHeight="1" x14ac:dyDescent="0.45">
      <c r="B1" s="372"/>
      <c r="C1" s="372"/>
      <c r="D1" s="372"/>
      <c r="E1" s="372"/>
    </row>
    <row r="2" spans="1:24" ht="20" customHeight="1" x14ac:dyDescent="0.45">
      <c r="B2" s="373"/>
      <c r="C2" s="373"/>
      <c r="D2" s="373"/>
      <c r="E2" s="373"/>
    </row>
    <row r="3" spans="1:24" ht="42.75" x14ac:dyDescent="0.45">
      <c r="B3" s="273" t="s">
        <v>246</v>
      </c>
      <c r="C3" s="274" t="s">
        <v>244</v>
      </c>
      <c r="D3" s="281" t="s">
        <v>245</v>
      </c>
      <c r="E3" s="140" t="s">
        <v>236</v>
      </c>
    </row>
    <row r="4" spans="1:24" x14ac:dyDescent="0.45">
      <c r="B4" s="53" t="s">
        <v>91</v>
      </c>
      <c r="C4" s="54">
        <v>226740.51</v>
      </c>
      <c r="D4" s="314">
        <f t="shared" ref="D4:D9" si="0">C4</f>
        <v>226740.51</v>
      </c>
      <c r="E4" s="316">
        <f>D4*12</f>
        <v>2720886.12</v>
      </c>
    </row>
    <row r="5" spans="1:24" x14ac:dyDescent="0.45">
      <c r="B5" s="58" t="s">
        <v>126</v>
      </c>
      <c r="C5" s="59">
        <v>7756.25</v>
      </c>
      <c r="D5" s="315">
        <f t="shared" si="0"/>
        <v>7756.25</v>
      </c>
      <c r="E5" s="56">
        <f t="shared" ref="E5:E9" si="1">D5*12</f>
        <v>93075</v>
      </c>
    </row>
    <row r="6" spans="1:24" x14ac:dyDescent="0.45">
      <c r="B6" s="53" t="s">
        <v>127</v>
      </c>
      <c r="C6" s="54">
        <v>5170.83</v>
      </c>
      <c r="D6" s="314">
        <f t="shared" si="0"/>
        <v>5170.83</v>
      </c>
      <c r="E6" s="316">
        <f t="shared" si="1"/>
        <v>62049.96</v>
      </c>
    </row>
    <row r="7" spans="1:24" x14ac:dyDescent="0.45">
      <c r="B7" s="58" t="s">
        <v>92</v>
      </c>
      <c r="C7" s="59">
        <v>10397.620000000001</v>
      </c>
      <c r="D7" s="315">
        <f t="shared" si="0"/>
        <v>10397.620000000001</v>
      </c>
      <c r="E7" s="56">
        <f t="shared" si="1"/>
        <v>124771.44</v>
      </c>
    </row>
    <row r="8" spans="1:24" x14ac:dyDescent="0.45">
      <c r="B8" s="53" t="s">
        <v>128</v>
      </c>
      <c r="C8" s="54">
        <v>89196.87</v>
      </c>
      <c r="D8" s="314">
        <f t="shared" si="0"/>
        <v>89196.87</v>
      </c>
      <c r="E8" s="316">
        <f t="shared" si="1"/>
        <v>1070362.44</v>
      </c>
    </row>
    <row r="9" spans="1:24" ht="14.25" customHeight="1" x14ac:dyDescent="0.45">
      <c r="B9" s="58" t="s">
        <v>243</v>
      </c>
      <c r="C9" s="59">
        <v>56101.1</v>
      </c>
      <c r="D9" s="315">
        <f t="shared" si="0"/>
        <v>56101.1</v>
      </c>
      <c r="E9" s="56">
        <f t="shared" si="1"/>
        <v>673213.2</v>
      </c>
    </row>
    <row r="10" spans="1:24" s="278" customFormat="1" ht="20" customHeight="1" x14ac:dyDescent="0.45">
      <c r="A10" s="277"/>
      <c r="B10" s="280"/>
      <c r="C10" s="302">
        <f>SUM(C4:C9)</f>
        <v>395363.17999999993</v>
      </c>
      <c r="D10" s="302">
        <f>SUM(D4:D9)</f>
        <v>395363.17999999993</v>
      </c>
      <c r="E10" s="302">
        <f>SUM(E4:E9)</f>
        <v>4744358.16</v>
      </c>
      <c r="F10" s="277"/>
      <c r="G10" s="277"/>
      <c r="H10" s="277"/>
      <c r="I10" s="277"/>
      <c r="J10" s="277"/>
      <c r="K10" s="277"/>
      <c r="L10" s="277"/>
      <c r="M10" s="277"/>
      <c r="N10" s="277"/>
      <c r="O10" s="277"/>
      <c r="P10" s="277"/>
      <c r="Q10" s="277"/>
      <c r="R10" s="277"/>
      <c r="S10" s="277"/>
      <c r="T10" s="277"/>
      <c r="U10" s="277"/>
      <c r="V10" s="277"/>
      <c r="W10" s="277"/>
      <c r="X10" s="277"/>
    </row>
    <row r="11" spans="1:24" s="271" customFormat="1" x14ac:dyDescent="0.45">
      <c r="B11" s="272"/>
      <c r="C11" s="272"/>
      <c r="D11" s="317">
        <f>D10-C10</f>
        <v>0</v>
      </c>
      <c r="E11" s="272"/>
    </row>
    <row r="12" spans="1:24" s="271" customFormat="1" x14ac:dyDescent="0.45">
      <c r="B12" s="272"/>
      <c r="C12" s="272"/>
      <c r="D12" s="272"/>
      <c r="E12" s="272"/>
    </row>
    <row r="13" spans="1:24" ht="42.75" x14ac:dyDescent="0.45">
      <c r="B13" s="273" t="s">
        <v>247</v>
      </c>
      <c r="C13" s="274" t="s">
        <v>244</v>
      </c>
      <c r="D13" s="281" t="s">
        <v>245</v>
      </c>
      <c r="E13" s="140" t="s">
        <v>236</v>
      </c>
    </row>
    <row r="14" spans="1:24" x14ac:dyDescent="0.45">
      <c r="B14" s="53" t="s">
        <v>95</v>
      </c>
      <c r="C14" s="54">
        <v>76587.7</v>
      </c>
      <c r="D14" s="314">
        <v>79850.399999999994</v>
      </c>
      <c r="E14" s="316">
        <f>D14*12</f>
        <v>958204.79999999993</v>
      </c>
    </row>
    <row r="15" spans="1:24" x14ac:dyDescent="0.45">
      <c r="B15" s="58" t="s">
        <v>96</v>
      </c>
      <c r="C15" s="59">
        <v>87966.44</v>
      </c>
      <c r="D15" s="315">
        <v>91713.88</v>
      </c>
      <c r="E15" s="56">
        <f t="shared" ref="E15:E22" si="2">D15*12</f>
        <v>1100566.56</v>
      </c>
    </row>
    <row r="16" spans="1:24" x14ac:dyDescent="0.45">
      <c r="B16" s="53" t="s">
        <v>97</v>
      </c>
      <c r="C16" s="54">
        <v>76587.7</v>
      </c>
      <c r="D16" s="314">
        <v>79850.399999999994</v>
      </c>
      <c r="E16" s="316">
        <f t="shared" si="2"/>
        <v>958204.79999999993</v>
      </c>
    </row>
    <row r="17" spans="1:24" x14ac:dyDescent="0.45">
      <c r="B17" s="58" t="s">
        <v>134</v>
      </c>
      <c r="C17" s="59">
        <v>76587.7</v>
      </c>
      <c r="D17" s="315">
        <v>79850.399999999994</v>
      </c>
      <c r="E17" s="56">
        <f t="shared" si="2"/>
        <v>958204.79999999993</v>
      </c>
    </row>
    <row r="18" spans="1:24" x14ac:dyDescent="0.45">
      <c r="B18" s="53" t="s">
        <v>176</v>
      </c>
      <c r="C18" s="54">
        <v>11488.16</v>
      </c>
      <c r="D18" s="314">
        <v>11977.57</v>
      </c>
      <c r="E18" s="316">
        <f t="shared" si="2"/>
        <v>143730.84</v>
      </c>
    </row>
    <row r="19" spans="1:24" ht="14.25" customHeight="1" x14ac:dyDescent="0.45">
      <c r="B19" s="58" t="s">
        <v>177</v>
      </c>
      <c r="C19" s="59">
        <v>19529.86</v>
      </c>
      <c r="D19" s="315">
        <v>20361.849999999999</v>
      </c>
      <c r="E19" s="56">
        <f t="shared" si="2"/>
        <v>244342.19999999998</v>
      </c>
    </row>
    <row r="20" spans="1:24" x14ac:dyDescent="0.45">
      <c r="B20" s="53" t="s">
        <v>135</v>
      </c>
      <c r="C20" s="54">
        <v>76587.7</v>
      </c>
      <c r="D20" s="314">
        <v>79850.399999999994</v>
      </c>
      <c r="E20" s="316">
        <f>D20*12</f>
        <v>958204.79999999993</v>
      </c>
    </row>
    <row r="21" spans="1:24" x14ac:dyDescent="0.45">
      <c r="B21" s="58" t="s">
        <v>98</v>
      </c>
      <c r="C21" s="59">
        <v>100649</v>
      </c>
      <c r="D21" s="315">
        <v>104936.73</v>
      </c>
      <c r="E21" s="56">
        <f t="shared" si="2"/>
        <v>1259240.76</v>
      </c>
    </row>
    <row r="22" spans="1:24" x14ac:dyDescent="0.45">
      <c r="B22" s="53" t="s">
        <v>99</v>
      </c>
      <c r="C22" s="54">
        <v>65646.600000000006</v>
      </c>
      <c r="D22" s="314">
        <v>68433.2</v>
      </c>
      <c r="E22" s="316">
        <f t="shared" si="2"/>
        <v>821198.39999999991</v>
      </c>
    </row>
    <row r="23" spans="1:24" s="278" customFormat="1" ht="20" customHeight="1" x14ac:dyDescent="0.45">
      <c r="A23" s="277"/>
      <c r="B23" s="280"/>
      <c r="C23" s="302">
        <f>SUM(C14:C22)</f>
        <v>591630.86</v>
      </c>
      <c r="D23" s="302">
        <f>SUM(D14:D22)</f>
        <v>616824.82999999984</v>
      </c>
      <c r="E23" s="302">
        <f>SUM(E14:E22)</f>
        <v>7401897.959999999</v>
      </c>
      <c r="F23" s="277"/>
      <c r="G23" s="277"/>
      <c r="H23" s="277"/>
      <c r="I23" s="277"/>
      <c r="J23" s="277"/>
      <c r="K23" s="277"/>
      <c r="L23" s="277"/>
      <c r="M23" s="277"/>
      <c r="N23" s="277"/>
      <c r="O23" s="277"/>
      <c r="P23" s="277"/>
      <c r="Q23" s="277"/>
      <c r="R23" s="277"/>
      <c r="S23" s="277"/>
      <c r="T23" s="277"/>
      <c r="U23" s="277"/>
      <c r="V23" s="277"/>
      <c r="W23" s="277"/>
      <c r="X23" s="277"/>
    </row>
    <row r="24" spans="1:24" s="271" customFormat="1" x14ac:dyDescent="0.45">
      <c r="B24" s="272"/>
      <c r="C24" s="272"/>
      <c r="D24" s="317">
        <f>D23-C23</f>
        <v>25193.969999999856</v>
      </c>
      <c r="E24" s="272"/>
    </row>
    <row r="25" spans="1:24" s="271" customFormat="1" x14ac:dyDescent="0.45">
      <c r="B25" s="272"/>
      <c r="C25" s="272"/>
      <c r="D25" s="272"/>
      <c r="E25" s="272"/>
    </row>
    <row r="26" spans="1:24" ht="42.75" x14ac:dyDescent="0.45">
      <c r="B26" s="273" t="s">
        <v>260</v>
      </c>
      <c r="C26" s="274" t="s">
        <v>244</v>
      </c>
      <c r="D26" s="281" t="s">
        <v>266</v>
      </c>
      <c r="E26" s="140" t="s">
        <v>236</v>
      </c>
    </row>
    <row r="27" spans="1:24" x14ac:dyDescent="0.45">
      <c r="B27" s="53" t="s">
        <v>248</v>
      </c>
      <c r="C27" s="54">
        <f>C45</f>
        <v>242880</v>
      </c>
      <c r="D27" s="314">
        <v>79850.399999999994</v>
      </c>
      <c r="E27" s="316">
        <f>D27*12</f>
        <v>958204.79999999993</v>
      </c>
    </row>
    <row r="28" spans="1:24" x14ac:dyDescent="0.45">
      <c r="B28" s="58" t="s">
        <v>249</v>
      </c>
      <c r="C28" s="59">
        <v>129190.59</v>
      </c>
      <c r="D28" s="315">
        <v>91713.88</v>
      </c>
      <c r="E28" s="56">
        <f t="shared" ref="E28:E35" si="3">D28*12</f>
        <v>1100566.56</v>
      </c>
    </row>
    <row r="29" spans="1:24" x14ac:dyDescent="0.45">
      <c r="B29" s="53" t="s">
        <v>250</v>
      </c>
      <c r="C29" s="54">
        <v>16000</v>
      </c>
      <c r="D29" s="314">
        <v>79850.399999999994</v>
      </c>
      <c r="E29" s="316">
        <f t="shared" si="3"/>
        <v>958204.79999999993</v>
      </c>
    </row>
    <row r="30" spans="1:24" x14ac:dyDescent="0.45">
      <c r="B30" s="58" t="s">
        <v>251</v>
      </c>
      <c r="C30" s="59">
        <v>74344.06</v>
      </c>
      <c r="D30" s="315">
        <v>79850.399999999994</v>
      </c>
      <c r="E30" s="56">
        <f t="shared" si="3"/>
        <v>958204.79999999993</v>
      </c>
    </row>
    <row r="31" spans="1:24" x14ac:dyDescent="0.45">
      <c r="B31" s="53" t="s">
        <v>252</v>
      </c>
      <c r="C31" s="54">
        <v>1350</v>
      </c>
      <c r="D31" s="314">
        <v>11977.57</v>
      </c>
      <c r="E31" s="316">
        <f t="shared" si="3"/>
        <v>143730.84</v>
      </c>
    </row>
    <row r="32" spans="1:24" ht="14.25" customHeight="1" x14ac:dyDescent="0.45">
      <c r="B32" s="58" t="s">
        <v>253</v>
      </c>
      <c r="C32" s="59">
        <v>6500</v>
      </c>
      <c r="D32" s="315">
        <v>20361.849999999999</v>
      </c>
      <c r="E32" s="56">
        <f t="shared" si="3"/>
        <v>244342.19999999998</v>
      </c>
    </row>
    <row r="33" spans="1:24" x14ac:dyDescent="0.45">
      <c r="B33" s="53" t="s">
        <v>254</v>
      </c>
      <c r="C33" s="54">
        <v>5400</v>
      </c>
      <c r="D33" s="314">
        <v>79850.399999999994</v>
      </c>
      <c r="E33" s="316">
        <f>D33*12</f>
        <v>958204.79999999993</v>
      </c>
    </row>
    <row r="34" spans="1:24" x14ac:dyDescent="0.45">
      <c r="B34" s="58" t="s">
        <v>255</v>
      </c>
      <c r="C34" s="59">
        <v>84000</v>
      </c>
      <c r="D34" s="315">
        <v>104936.73</v>
      </c>
      <c r="E34" s="56">
        <f t="shared" si="3"/>
        <v>1259240.76</v>
      </c>
    </row>
    <row r="35" spans="1:24" x14ac:dyDescent="0.45">
      <c r="B35" s="53" t="s">
        <v>256</v>
      </c>
      <c r="C35" s="54">
        <v>19484.98</v>
      </c>
      <c r="D35" s="314">
        <v>68433.2</v>
      </c>
      <c r="E35" s="316">
        <f t="shared" si="3"/>
        <v>821198.39999999991</v>
      </c>
    </row>
    <row r="36" spans="1:24" s="278" customFormat="1" ht="20" customHeight="1" x14ac:dyDescent="0.45">
      <c r="A36" s="277"/>
      <c r="B36" s="280"/>
      <c r="C36" s="302">
        <f>SUM(C27:C35)</f>
        <v>579149.62999999989</v>
      </c>
      <c r="D36" s="302">
        <f>SUM(D27:D35)</f>
        <v>616824.82999999984</v>
      </c>
      <c r="E36" s="302">
        <f>SUM(E27:E35)</f>
        <v>7401897.959999999</v>
      </c>
      <c r="F36" s="277"/>
      <c r="G36" s="277"/>
      <c r="H36" s="277"/>
      <c r="I36" s="277"/>
      <c r="J36" s="277"/>
      <c r="K36" s="277"/>
      <c r="L36" s="277"/>
      <c r="M36" s="277"/>
      <c r="N36" s="277"/>
      <c r="O36" s="277"/>
      <c r="P36" s="277"/>
      <c r="Q36" s="277"/>
      <c r="R36" s="277"/>
      <c r="S36" s="277"/>
      <c r="T36" s="277"/>
      <c r="U36" s="277"/>
      <c r="V36" s="277"/>
      <c r="W36" s="277"/>
      <c r="X36" s="277"/>
    </row>
    <row r="37" spans="1:24" s="271" customFormat="1" x14ac:dyDescent="0.45">
      <c r="B37" s="272"/>
      <c r="C37" s="272"/>
      <c r="D37" s="272"/>
      <c r="E37" s="272"/>
    </row>
    <row r="38" spans="1:24" s="271" customFormat="1" x14ac:dyDescent="0.45"/>
    <row r="39" spans="1:24" ht="42.75" x14ac:dyDescent="0.45">
      <c r="B39" s="318" t="s">
        <v>257</v>
      </c>
      <c r="C39" s="274" t="s">
        <v>244</v>
      </c>
      <c r="D39" s="281" t="s">
        <v>266</v>
      </c>
      <c r="E39" s="140" t="s">
        <v>258</v>
      </c>
      <c r="F39" s="140" t="s">
        <v>259</v>
      </c>
    </row>
    <row r="40" spans="1:24" x14ac:dyDescent="0.45">
      <c r="B40" s="20" t="s">
        <v>261</v>
      </c>
      <c r="C40" s="54">
        <v>25920</v>
      </c>
      <c r="D40" s="314">
        <v>79850.399999999994</v>
      </c>
      <c r="E40" s="297">
        <v>24</v>
      </c>
      <c r="F40" s="319">
        <v>732</v>
      </c>
    </row>
    <row r="41" spans="1:24" x14ac:dyDescent="0.45">
      <c r="B41" s="320" t="s">
        <v>262</v>
      </c>
      <c r="C41" s="321">
        <v>108000</v>
      </c>
      <c r="D41" s="322">
        <v>91713.88</v>
      </c>
      <c r="E41" s="323">
        <v>24</v>
      </c>
      <c r="F41" s="324">
        <v>732</v>
      </c>
    </row>
    <row r="42" spans="1:24" x14ac:dyDescent="0.45">
      <c r="B42" s="20" t="s">
        <v>263</v>
      </c>
      <c r="C42" s="54">
        <v>18000</v>
      </c>
      <c r="D42" s="314">
        <v>79850.399999999994</v>
      </c>
      <c r="E42" s="297">
        <v>24</v>
      </c>
      <c r="F42" s="319">
        <v>732</v>
      </c>
    </row>
    <row r="43" spans="1:24" x14ac:dyDescent="0.45">
      <c r="B43" s="320" t="s">
        <v>264</v>
      </c>
      <c r="C43" s="321">
        <v>42000</v>
      </c>
      <c r="D43" s="322">
        <v>79850.399999999994</v>
      </c>
      <c r="E43" s="323">
        <v>24</v>
      </c>
      <c r="F43" s="324">
        <v>732</v>
      </c>
    </row>
    <row r="44" spans="1:24" x14ac:dyDescent="0.45">
      <c r="B44" s="20" t="s">
        <v>265</v>
      </c>
      <c r="C44" s="54">
        <v>48960</v>
      </c>
      <c r="D44" s="314">
        <v>11977.57</v>
      </c>
      <c r="E44" s="297">
        <v>24</v>
      </c>
      <c r="F44" s="319">
        <v>732</v>
      </c>
    </row>
    <row r="45" spans="1:24" s="278" customFormat="1" ht="20" customHeight="1" x14ac:dyDescent="0.45">
      <c r="A45" s="277"/>
      <c r="B45" s="280"/>
      <c r="C45" s="302">
        <f>SUM(C40:C44)</f>
        <v>242880</v>
      </c>
      <c r="D45" s="302">
        <f>SUM(D40:D44)</f>
        <v>343242.64999999997</v>
      </c>
      <c r="E45" s="302">
        <f>SUM(E40:E44)</f>
        <v>120</v>
      </c>
      <c r="F45" s="302">
        <f>SUM(F40:F44)</f>
        <v>3660</v>
      </c>
      <c r="G45" s="277"/>
      <c r="H45" s="277"/>
      <c r="I45" s="277"/>
      <c r="J45" s="277"/>
      <c r="K45" s="277"/>
      <c r="L45" s="277"/>
      <c r="M45" s="277"/>
      <c r="N45" s="277"/>
      <c r="O45" s="277"/>
      <c r="P45" s="277"/>
      <c r="Q45" s="277"/>
      <c r="R45" s="277"/>
      <c r="S45" s="277"/>
      <c r="T45" s="277"/>
      <c r="U45" s="277"/>
      <c r="V45" s="277"/>
      <c r="W45" s="277"/>
      <c r="X45" s="277"/>
    </row>
    <row r="46" spans="1:24" s="271" customFormat="1" x14ac:dyDescent="0.45"/>
    <row r="47" spans="1:24" s="271" customFormat="1" x14ac:dyDescent="0.45"/>
    <row r="48" spans="1:24" s="271" customFormat="1" x14ac:dyDescent="0.45">
      <c r="A48" s="325"/>
      <c r="B48" s="326"/>
      <c r="C48" s="326"/>
    </row>
    <row r="49" spans="1:4" s="271" customFormat="1" x14ac:dyDescent="0.45">
      <c r="A49" s="325"/>
      <c r="B49" s="326"/>
      <c r="C49" s="326"/>
    </row>
    <row r="50" spans="1:4" s="271" customFormat="1" x14ac:dyDescent="0.45">
      <c r="A50" s="325"/>
      <c r="B50" s="326"/>
      <c r="C50" s="326"/>
    </row>
    <row r="51" spans="1:4" s="271" customFormat="1" x14ac:dyDescent="0.45">
      <c r="A51" s="325"/>
      <c r="B51" s="326"/>
      <c r="C51" s="326"/>
    </row>
    <row r="52" spans="1:4" s="271" customFormat="1" x14ac:dyDescent="0.45">
      <c r="A52" s="325"/>
      <c r="B52" s="326"/>
      <c r="C52" s="326"/>
    </row>
    <row r="53" spans="1:4" s="271" customFormat="1" x14ac:dyDescent="0.45">
      <c r="A53" s="325"/>
      <c r="B53" s="326"/>
      <c r="C53" s="326"/>
    </row>
    <row r="54" spans="1:4" s="271" customFormat="1" x14ac:dyDescent="0.45">
      <c r="A54" s="325"/>
      <c r="B54" s="326"/>
      <c r="C54" s="326"/>
    </row>
    <row r="55" spans="1:4" s="271" customFormat="1" x14ac:dyDescent="0.45">
      <c r="A55" s="325"/>
      <c r="B55" s="326"/>
      <c r="C55" s="326"/>
    </row>
    <row r="56" spans="1:4" s="271" customFormat="1" x14ac:dyDescent="0.45">
      <c r="A56" s="325"/>
      <c r="B56" s="327"/>
      <c r="C56" s="326"/>
    </row>
    <row r="57" spans="1:4" s="271" customFormat="1" x14ac:dyDescent="0.45">
      <c r="A57" s="325"/>
      <c r="B57" s="326"/>
      <c r="C57" s="326"/>
    </row>
    <row r="58" spans="1:4" s="271" customFormat="1" x14ac:dyDescent="0.45">
      <c r="A58" s="325"/>
      <c r="B58" s="326"/>
      <c r="C58" s="326"/>
    </row>
    <row r="59" spans="1:4" s="271" customFormat="1" x14ac:dyDescent="0.45">
      <c r="A59" s="325"/>
      <c r="B59" s="326"/>
      <c r="C59" s="326"/>
    </row>
    <row r="60" spans="1:4" s="271" customFormat="1" x14ac:dyDescent="0.45">
      <c r="A60" s="325"/>
      <c r="B60" s="326"/>
      <c r="C60" s="326"/>
    </row>
    <row r="61" spans="1:4" s="271" customFormat="1" x14ac:dyDescent="0.45">
      <c r="A61" s="328"/>
      <c r="B61" s="329"/>
      <c r="C61" s="329"/>
      <c r="D61" s="330"/>
    </row>
    <row r="62" spans="1:4" s="271" customFormat="1" x14ac:dyDescent="0.45">
      <c r="A62" s="328"/>
      <c r="B62" s="329"/>
      <c r="C62" s="329"/>
      <c r="D62" s="330"/>
    </row>
    <row r="63" spans="1:4" s="271" customFormat="1" x14ac:dyDescent="0.45">
      <c r="A63" s="328"/>
      <c r="B63" s="329"/>
      <c r="C63" s="329"/>
      <c r="D63" s="330"/>
    </row>
    <row r="64" spans="1:4" s="271" customFormat="1" x14ac:dyDescent="0.45">
      <c r="A64" s="328"/>
      <c r="B64" s="329"/>
      <c r="C64" s="329"/>
      <c r="D64" s="330"/>
    </row>
    <row r="65" spans="1:4" s="271" customFormat="1" x14ac:dyDescent="0.45">
      <c r="A65" s="328"/>
      <c r="B65" s="329"/>
      <c r="C65" s="329"/>
      <c r="D65" s="330"/>
    </row>
    <row r="66" spans="1:4" s="271" customFormat="1" x14ac:dyDescent="0.45"/>
    <row r="67" spans="1:4" s="271" customFormat="1" x14ac:dyDescent="0.45">
      <c r="B67" s="384" t="s">
        <v>213</v>
      </c>
      <c r="C67" s="385"/>
    </row>
    <row r="68" spans="1:4" s="271" customFormat="1" x14ac:dyDescent="0.45">
      <c r="B68" s="381" t="s">
        <v>214</v>
      </c>
      <c r="C68" s="382"/>
    </row>
    <row r="69" spans="1:4" s="271" customFormat="1" x14ac:dyDescent="0.45">
      <c r="B69" s="381" t="s">
        <v>215</v>
      </c>
      <c r="C69" s="382"/>
    </row>
    <row r="70" spans="1:4" s="271" customFormat="1" x14ac:dyDescent="0.45">
      <c r="B70" s="383" t="s">
        <v>216</v>
      </c>
      <c r="C70" s="383"/>
    </row>
    <row r="71" spans="1:4" s="271" customFormat="1" x14ac:dyDescent="0.45">
      <c r="B71" s="386" t="s">
        <v>217</v>
      </c>
      <c r="C71" s="387"/>
    </row>
    <row r="72" spans="1:4" s="271" customFormat="1" x14ac:dyDescent="0.45">
      <c r="B72" s="381" t="s">
        <v>218</v>
      </c>
      <c r="C72" s="382"/>
    </row>
    <row r="73" spans="1:4" s="271" customFormat="1" x14ac:dyDescent="0.45">
      <c r="B73" s="381" t="s">
        <v>219</v>
      </c>
      <c r="C73" s="382"/>
    </row>
    <row r="74" spans="1:4" s="271" customFormat="1" x14ac:dyDescent="0.45">
      <c r="B74" s="381" t="s">
        <v>220</v>
      </c>
      <c r="C74" s="382"/>
    </row>
    <row r="75" spans="1:4" s="271" customFormat="1" x14ac:dyDescent="0.45">
      <c r="B75" s="383" t="s">
        <v>221</v>
      </c>
      <c r="C75" s="383"/>
    </row>
    <row r="76" spans="1:4" s="271" customFormat="1" x14ac:dyDescent="0.45"/>
    <row r="77" spans="1:4" s="271" customFormat="1" x14ac:dyDescent="0.45"/>
    <row r="78" spans="1:4" s="271" customFormat="1" x14ac:dyDescent="0.45"/>
    <row r="79" spans="1:4" s="271" customFormat="1" x14ac:dyDescent="0.45"/>
  </sheetData>
  <mergeCells count="10">
    <mergeCell ref="B1:E2"/>
    <mergeCell ref="B73:C73"/>
    <mergeCell ref="B74:C74"/>
    <mergeCell ref="B75:C75"/>
    <mergeCell ref="B67:C67"/>
    <mergeCell ref="B68:C68"/>
    <mergeCell ref="B69:C69"/>
    <mergeCell ref="B70:C70"/>
    <mergeCell ref="B71:C71"/>
    <mergeCell ref="B72:C7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9360-367C-421F-BFD4-C1135AC0C25A}">
  <sheetPr>
    <pageSetUpPr fitToPage="1"/>
  </sheetPr>
  <dimension ref="A1:J338"/>
  <sheetViews>
    <sheetView topLeftCell="A61" zoomScaleNormal="100" workbookViewId="0">
      <selection activeCell="B80" sqref="B80"/>
    </sheetView>
  </sheetViews>
  <sheetFormatPr defaultRowHeight="14.25" x14ac:dyDescent="0.45"/>
  <cols>
    <col min="1" max="1" width="57.33203125" bestFit="1" customWidth="1"/>
    <col min="2" max="2" width="77" customWidth="1"/>
    <col min="3" max="3" width="21" bestFit="1" customWidth="1"/>
    <col min="4" max="4" width="18" customWidth="1"/>
    <col min="5" max="5" width="21" bestFit="1" customWidth="1"/>
    <col min="6" max="6" width="35.6640625" bestFit="1" customWidth="1"/>
    <col min="7" max="7" width="35.46484375" bestFit="1" customWidth="1"/>
    <col min="8" max="8" width="16.53125" bestFit="1" customWidth="1"/>
    <col min="9" max="9" width="22.796875" bestFit="1" customWidth="1"/>
    <col min="10" max="10" width="20.53125" bestFit="1" customWidth="1"/>
  </cols>
  <sheetData>
    <row r="1" spans="1:7" hidden="1" x14ac:dyDescent="0.45">
      <c r="A1" s="372" t="s">
        <v>230</v>
      </c>
      <c r="B1" s="372"/>
      <c r="C1" s="372"/>
      <c r="D1" s="372"/>
      <c r="E1" s="372"/>
      <c r="F1" s="372"/>
      <c r="G1" s="372"/>
    </row>
    <row r="2" spans="1:7" hidden="1" x14ac:dyDescent="0.45">
      <c r="A2" s="373"/>
      <c r="B2" s="373"/>
      <c r="C2" s="373"/>
      <c r="D2" s="373"/>
      <c r="E2" s="373"/>
      <c r="F2" s="373"/>
      <c r="G2" s="373"/>
    </row>
    <row r="3" spans="1:7" ht="26" hidden="1" customHeight="1" x14ac:dyDescent="0.45">
      <c r="A3" s="47" t="s">
        <v>0</v>
      </c>
      <c r="B3" s="48" t="s">
        <v>1</v>
      </c>
      <c r="C3" s="49" t="s">
        <v>2</v>
      </c>
      <c r="D3" s="50" t="s">
        <v>3</v>
      </c>
      <c r="E3" s="51" t="s">
        <v>4</v>
      </c>
      <c r="F3" s="51" t="s">
        <v>5</v>
      </c>
      <c r="G3" s="50" t="s">
        <v>6</v>
      </c>
    </row>
    <row r="4" spans="1:7" hidden="1" x14ac:dyDescent="0.45">
      <c r="A4" s="52" t="s">
        <v>7</v>
      </c>
      <c r="B4" s="53" t="s">
        <v>8</v>
      </c>
      <c r="C4" s="54">
        <v>1587.38</v>
      </c>
      <c r="D4" s="55">
        <v>293</v>
      </c>
      <c r="E4" s="56">
        <f t="shared" ref="E4:E12" si="0">D4*C4</f>
        <v>465102.34</v>
      </c>
      <c r="F4" s="55">
        <f t="shared" ref="F4:F12" si="1">D4*12</f>
        <v>3516</v>
      </c>
      <c r="G4" s="56">
        <f t="shared" ref="G4:G12" si="2">F4*C4</f>
        <v>5581228.0800000001</v>
      </c>
    </row>
    <row r="5" spans="1:7" hidden="1" x14ac:dyDescent="0.45">
      <c r="A5" s="57" t="s">
        <v>9</v>
      </c>
      <c r="B5" s="58" t="s">
        <v>10</v>
      </c>
      <c r="C5" s="59">
        <v>1382.19</v>
      </c>
      <c r="D5" s="60">
        <v>15</v>
      </c>
      <c r="E5" s="61">
        <f t="shared" si="0"/>
        <v>20732.850000000002</v>
      </c>
      <c r="F5" s="62">
        <f t="shared" si="1"/>
        <v>180</v>
      </c>
      <c r="G5" s="61">
        <f t="shared" si="2"/>
        <v>248794.2</v>
      </c>
    </row>
    <row r="6" spans="1:7" hidden="1" x14ac:dyDescent="0.45">
      <c r="A6" s="52" t="s">
        <v>11</v>
      </c>
      <c r="B6" s="53" t="s">
        <v>12</v>
      </c>
      <c r="C6" s="54">
        <v>990.35</v>
      </c>
      <c r="D6" s="55">
        <v>20</v>
      </c>
      <c r="E6" s="56">
        <f t="shared" si="0"/>
        <v>19807</v>
      </c>
      <c r="F6" s="55">
        <f t="shared" si="1"/>
        <v>240</v>
      </c>
      <c r="G6" s="56">
        <f t="shared" si="2"/>
        <v>237684</v>
      </c>
    </row>
    <row r="7" spans="1:7" hidden="1" x14ac:dyDescent="0.45">
      <c r="A7" s="57" t="s">
        <v>11</v>
      </c>
      <c r="B7" s="58" t="s">
        <v>13</v>
      </c>
      <c r="C7" s="59">
        <v>990.35</v>
      </c>
      <c r="D7" s="60">
        <v>7</v>
      </c>
      <c r="E7" s="61">
        <f t="shared" si="0"/>
        <v>6932.45</v>
      </c>
      <c r="F7" s="62">
        <f t="shared" si="1"/>
        <v>84</v>
      </c>
      <c r="G7" s="61">
        <f t="shared" si="2"/>
        <v>83189.400000000009</v>
      </c>
    </row>
    <row r="8" spans="1:7" hidden="1" x14ac:dyDescent="0.45">
      <c r="A8" s="52" t="s">
        <v>14</v>
      </c>
      <c r="B8" s="53" t="s">
        <v>15</v>
      </c>
      <c r="C8" s="54">
        <v>564.82000000000005</v>
      </c>
      <c r="D8" s="55">
        <v>30</v>
      </c>
      <c r="E8" s="56">
        <f t="shared" si="0"/>
        <v>16944.600000000002</v>
      </c>
      <c r="F8" s="55">
        <f t="shared" si="1"/>
        <v>360</v>
      </c>
      <c r="G8" s="56">
        <f t="shared" si="2"/>
        <v>203335.2</v>
      </c>
    </row>
    <row r="9" spans="1:7" hidden="1" x14ac:dyDescent="0.45">
      <c r="A9" s="57" t="s">
        <v>16</v>
      </c>
      <c r="B9" s="58" t="s">
        <v>17</v>
      </c>
      <c r="C9" s="59">
        <v>642.46</v>
      </c>
      <c r="D9" s="63">
        <v>35</v>
      </c>
      <c r="E9" s="61">
        <f t="shared" si="0"/>
        <v>22486.100000000002</v>
      </c>
      <c r="F9" s="62">
        <f t="shared" si="1"/>
        <v>420</v>
      </c>
      <c r="G9" s="61">
        <f t="shared" si="2"/>
        <v>269833.2</v>
      </c>
    </row>
    <row r="10" spans="1:7" hidden="1" x14ac:dyDescent="0.45">
      <c r="A10" s="52" t="s">
        <v>18</v>
      </c>
      <c r="B10" s="53" t="s">
        <v>19</v>
      </c>
      <c r="C10" s="54">
        <v>1400</v>
      </c>
      <c r="D10" s="64">
        <v>35</v>
      </c>
      <c r="E10" s="56">
        <f t="shared" si="0"/>
        <v>49000</v>
      </c>
      <c r="F10" s="55">
        <f t="shared" si="1"/>
        <v>420</v>
      </c>
      <c r="G10" s="56">
        <f t="shared" si="2"/>
        <v>588000</v>
      </c>
    </row>
    <row r="11" spans="1:7" hidden="1" x14ac:dyDescent="0.45">
      <c r="A11" s="57" t="s">
        <v>18</v>
      </c>
      <c r="B11" s="58" t="s">
        <v>20</v>
      </c>
      <c r="C11" s="59">
        <v>951.35</v>
      </c>
      <c r="D11" s="63">
        <v>30</v>
      </c>
      <c r="E11" s="61">
        <f t="shared" si="0"/>
        <v>28540.5</v>
      </c>
      <c r="F11" s="62">
        <f>D11*12</f>
        <v>360</v>
      </c>
      <c r="G11" s="61">
        <f t="shared" si="2"/>
        <v>342486</v>
      </c>
    </row>
    <row r="12" spans="1:7" hidden="1" x14ac:dyDescent="0.45">
      <c r="A12" s="52" t="s">
        <v>21</v>
      </c>
      <c r="B12" s="53" t="s">
        <v>22</v>
      </c>
      <c r="C12" s="54">
        <v>4031.71</v>
      </c>
      <c r="D12" s="55">
        <v>33</v>
      </c>
      <c r="E12" s="56">
        <f t="shared" si="0"/>
        <v>133046.43</v>
      </c>
      <c r="F12" s="55">
        <f t="shared" si="1"/>
        <v>396</v>
      </c>
      <c r="G12" s="56">
        <f t="shared" si="2"/>
        <v>1596557.16</v>
      </c>
    </row>
    <row r="13" spans="1:7" hidden="1" x14ac:dyDescent="0.45">
      <c r="A13" s="65"/>
      <c r="B13" s="66" t="s">
        <v>23</v>
      </c>
      <c r="C13" s="67">
        <f>SUM(C4:C12)</f>
        <v>12540.61</v>
      </c>
      <c r="D13" s="68">
        <f>SUM(D4:D12)</f>
        <v>498</v>
      </c>
      <c r="E13" s="11">
        <f>SUM(E4:E12)</f>
        <v>762592.27</v>
      </c>
      <c r="F13" s="10">
        <f>SUM(F4:F12)</f>
        <v>5976</v>
      </c>
      <c r="G13" s="11">
        <f>SUM(G4:G12)</f>
        <v>9151107.2400000002</v>
      </c>
    </row>
    <row r="14" spans="1:7" hidden="1" x14ac:dyDescent="0.45">
      <c r="B14" s="46"/>
      <c r="C14" s="46"/>
      <c r="D14" s="46"/>
      <c r="E14" s="46"/>
      <c r="F14" s="46"/>
      <c r="G14" s="46"/>
    </row>
    <row r="15" spans="1:7" hidden="1" x14ac:dyDescent="0.45">
      <c r="A15" s="46"/>
      <c r="B15" s="46"/>
      <c r="C15" s="46"/>
      <c r="D15" s="46"/>
      <c r="E15" s="46"/>
      <c r="F15" s="46"/>
      <c r="G15" s="46"/>
    </row>
    <row r="16" spans="1:7" hidden="1" x14ac:dyDescent="0.45">
      <c r="A16" s="46"/>
      <c r="B16" s="46"/>
      <c r="C16" s="46"/>
      <c r="D16" s="46"/>
      <c r="E16" s="46"/>
      <c r="F16" s="46"/>
      <c r="G16" s="46"/>
    </row>
    <row r="17" spans="1:7" hidden="1" x14ac:dyDescent="0.45">
      <c r="A17" s="46"/>
      <c r="B17" s="46"/>
      <c r="C17" s="46"/>
      <c r="D17" s="46"/>
      <c r="E17" s="46"/>
      <c r="F17" s="46"/>
      <c r="G17" s="46"/>
    </row>
    <row r="18" spans="1:7" hidden="1" x14ac:dyDescent="0.45">
      <c r="A18" s="46"/>
      <c r="B18" s="46"/>
      <c r="C18" s="46"/>
      <c r="D18" s="46"/>
      <c r="E18" s="46"/>
      <c r="F18" s="46"/>
      <c r="G18" s="46"/>
    </row>
    <row r="19" spans="1:7" hidden="1" x14ac:dyDescent="0.45">
      <c r="A19" s="46"/>
      <c r="B19" s="46"/>
      <c r="C19" s="46"/>
      <c r="D19" s="46"/>
      <c r="E19" s="46"/>
      <c r="F19" s="46"/>
      <c r="G19" s="46"/>
    </row>
    <row r="20" spans="1:7" hidden="1" x14ac:dyDescent="0.45">
      <c r="A20" s="46"/>
      <c r="B20" s="46"/>
      <c r="C20" s="46"/>
      <c r="D20" s="46"/>
      <c r="E20" s="46"/>
      <c r="F20" s="46"/>
      <c r="G20" s="46"/>
    </row>
    <row r="21" spans="1:7" hidden="1" x14ac:dyDescent="0.45">
      <c r="A21" s="46"/>
      <c r="B21" s="46"/>
      <c r="C21" s="46"/>
      <c r="D21" s="46"/>
      <c r="E21" s="46"/>
      <c r="F21" s="46"/>
      <c r="G21" s="46"/>
    </row>
    <row r="22" spans="1:7" hidden="1" x14ac:dyDescent="0.45">
      <c r="A22" s="46"/>
      <c r="B22" s="46"/>
      <c r="C22" s="46"/>
      <c r="D22" s="46"/>
      <c r="E22" s="46"/>
      <c r="F22" s="46"/>
      <c r="G22" s="46"/>
    </row>
    <row r="23" spans="1:7" hidden="1" x14ac:dyDescent="0.45">
      <c r="A23" s="46"/>
      <c r="B23" s="46"/>
      <c r="C23" s="46"/>
      <c r="D23" s="46"/>
      <c r="E23" s="46"/>
      <c r="F23" s="46"/>
      <c r="G23" s="46"/>
    </row>
    <row r="24" spans="1:7" hidden="1" x14ac:dyDescent="0.45">
      <c r="A24" s="46"/>
      <c r="B24" s="46"/>
      <c r="C24" s="46"/>
      <c r="D24" s="46"/>
      <c r="E24" s="46"/>
      <c r="F24" s="46"/>
      <c r="G24" s="46"/>
    </row>
    <row r="25" spans="1:7" ht="48" customHeight="1" x14ac:dyDescent="0.45">
      <c r="A25" s="373" t="s">
        <v>208</v>
      </c>
      <c r="B25" s="373"/>
      <c r="C25" s="373"/>
      <c r="D25" s="373"/>
      <c r="E25" s="373"/>
      <c r="F25" s="373"/>
      <c r="G25" s="373"/>
    </row>
    <row r="26" spans="1:7" ht="28.5" x14ac:dyDescent="0.45">
      <c r="A26" s="69" t="s">
        <v>0</v>
      </c>
      <c r="B26" s="47" t="s">
        <v>1</v>
      </c>
      <c r="C26" s="70" t="s">
        <v>138</v>
      </c>
      <c r="D26" s="50" t="s">
        <v>3</v>
      </c>
      <c r="E26" s="51" t="s">
        <v>4</v>
      </c>
      <c r="F26" s="51" t="s">
        <v>5</v>
      </c>
      <c r="G26" s="50" t="s">
        <v>6</v>
      </c>
    </row>
    <row r="27" spans="1:7" x14ac:dyDescent="0.45">
      <c r="A27" s="52" t="s">
        <v>24</v>
      </c>
      <c r="B27" s="52" t="s">
        <v>25</v>
      </c>
      <c r="C27" s="71">
        <v>23.73</v>
      </c>
      <c r="D27" s="55">
        <v>20</v>
      </c>
      <c r="E27" s="56">
        <f t="shared" ref="E27:E32" si="3">D27*C27</f>
        <v>474.6</v>
      </c>
      <c r="F27" s="55">
        <f t="shared" ref="F27:F32" si="4">D27*12</f>
        <v>240</v>
      </c>
      <c r="G27" s="56">
        <f t="shared" ref="G27:G60" si="5">F27*C27</f>
        <v>5695.2</v>
      </c>
    </row>
    <row r="28" spans="1:7" x14ac:dyDescent="0.45">
      <c r="A28" s="72" t="s">
        <v>26</v>
      </c>
      <c r="B28" s="72" t="s">
        <v>27</v>
      </c>
      <c r="C28" s="73">
        <v>4.8</v>
      </c>
      <c r="D28" s="62">
        <v>1080</v>
      </c>
      <c r="E28" s="61">
        <f t="shared" si="3"/>
        <v>5184</v>
      </c>
      <c r="F28" s="62">
        <f t="shared" si="4"/>
        <v>12960</v>
      </c>
      <c r="G28" s="61">
        <f t="shared" si="5"/>
        <v>62208</v>
      </c>
    </row>
    <row r="29" spans="1:7" x14ac:dyDescent="0.45">
      <c r="A29" s="52" t="s">
        <v>26</v>
      </c>
      <c r="B29" s="52" t="s">
        <v>28</v>
      </c>
      <c r="C29" s="71">
        <v>4.8</v>
      </c>
      <c r="D29" s="55">
        <v>1312</v>
      </c>
      <c r="E29" s="56">
        <f t="shared" si="3"/>
        <v>6297.5999999999995</v>
      </c>
      <c r="F29" s="55">
        <f t="shared" si="4"/>
        <v>15744</v>
      </c>
      <c r="G29" s="56">
        <f t="shared" si="5"/>
        <v>75571.199999999997</v>
      </c>
    </row>
    <row r="30" spans="1:7" x14ac:dyDescent="0.45">
      <c r="A30" s="72" t="s">
        <v>29</v>
      </c>
      <c r="B30" s="72" t="s">
        <v>30</v>
      </c>
      <c r="C30" s="73">
        <v>50</v>
      </c>
      <c r="D30" s="62">
        <v>32</v>
      </c>
      <c r="E30" s="61">
        <f t="shared" si="3"/>
        <v>1600</v>
      </c>
      <c r="F30" s="62">
        <f t="shared" si="4"/>
        <v>384</v>
      </c>
      <c r="G30" s="61">
        <f t="shared" si="5"/>
        <v>19200</v>
      </c>
    </row>
    <row r="31" spans="1:7" x14ac:dyDescent="0.45">
      <c r="A31" s="52" t="s">
        <v>31</v>
      </c>
      <c r="B31" s="52" t="s">
        <v>32</v>
      </c>
      <c r="C31" s="71">
        <v>9</v>
      </c>
      <c r="D31" s="55">
        <v>632</v>
      </c>
      <c r="E31" s="56">
        <f t="shared" si="3"/>
        <v>5688</v>
      </c>
      <c r="F31" s="55">
        <f t="shared" si="4"/>
        <v>7584</v>
      </c>
      <c r="G31" s="56">
        <f t="shared" si="5"/>
        <v>68256</v>
      </c>
    </row>
    <row r="32" spans="1:7" x14ac:dyDescent="0.45">
      <c r="A32" s="72" t="s">
        <v>33</v>
      </c>
      <c r="B32" s="72" t="s">
        <v>34</v>
      </c>
      <c r="C32" s="73">
        <v>32.56</v>
      </c>
      <c r="D32" s="62">
        <v>70</v>
      </c>
      <c r="E32" s="61">
        <f t="shared" si="3"/>
        <v>2279.2000000000003</v>
      </c>
      <c r="F32" s="62">
        <f t="shared" si="4"/>
        <v>840</v>
      </c>
      <c r="G32" s="61">
        <f t="shared" si="5"/>
        <v>27350.400000000001</v>
      </c>
    </row>
    <row r="33" spans="1:7" x14ac:dyDescent="0.45">
      <c r="A33" s="74" t="s">
        <v>31</v>
      </c>
      <c r="B33" s="75" t="s">
        <v>35</v>
      </c>
      <c r="C33" s="76">
        <v>22.5</v>
      </c>
      <c r="D33" s="77">
        <v>10</v>
      </c>
      <c r="E33" s="56">
        <f t="shared" ref="E33:E42" si="6">D33*C33</f>
        <v>225</v>
      </c>
      <c r="F33" s="55">
        <f t="shared" ref="F33:F42" si="7">D33*12</f>
        <v>120</v>
      </c>
      <c r="G33" s="56">
        <f t="shared" si="5"/>
        <v>2700</v>
      </c>
    </row>
    <row r="34" spans="1:7" x14ac:dyDescent="0.45">
      <c r="A34" s="72" t="s">
        <v>31</v>
      </c>
      <c r="B34" s="78" t="s">
        <v>36</v>
      </c>
      <c r="C34" s="73">
        <v>135</v>
      </c>
      <c r="D34" s="62">
        <v>190</v>
      </c>
      <c r="E34" s="61">
        <f t="shared" si="6"/>
        <v>25650</v>
      </c>
      <c r="F34" s="62">
        <f t="shared" si="7"/>
        <v>2280</v>
      </c>
      <c r="G34" s="61">
        <f t="shared" si="5"/>
        <v>307800</v>
      </c>
    </row>
    <row r="35" spans="1:7" x14ac:dyDescent="0.45">
      <c r="A35" s="52" t="s">
        <v>37</v>
      </c>
      <c r="B35" s="52" t="s">
        <v>38</v>
      </c>
      <c r="C35" s="71">
        <v>5.75</v>
      </c>
      <c r="D35" s="55">
        <v>48</v>
      </c>
      <c r="E35" s="56">
        <f t="shared" si="6"/>
        <v>276</v>
      </c>
      <c r="F35" s="55">
        <f t="shared" si="7"/>
        <v>576</v>
      </c>
      <c r="G35" s="56">
        <f t="shared" si="5"/>
        <v>3312</v>
      </c>
    </row>
    <row r="36" spans="1:7" x14ac:dyDescent="0.45">
      <c r="A36" s="52" t="s">
        <v>39</v>
      </c>
      <c r="B36" s="52" t="s">
        <v>40</v>
      </c>
      <c r="C36" s="71">
        <v>17.04</v>
      </c>
      <c r="D36" s="55">
        <v>35</v>
      </c>
      <c r="E36" s="56">
        <f t="shared" si="6"/>
        <v>596.4</v>
      </c>
      <c r="F36" s="55">
        <f t="shared" si="7"/>
        <v>420</v>
      </c>
      <c r="G36" s="56">
        <f t="shared" si="5"/>
        <v>7156.7999999999993</v>
      </c>
    </row>
    <row r="37" spans="1:7" x14ac:dyDescent="0.45">
      <c r="A37" s="72" t="s">
        <v>41</v>
      </c>
      <c r="B37" s="72" t="s">
        <v>42</v>
      </c>
      <c r="C37" s="73">
        <v>23.16</v>
      </c>
      <c r="D37" s="62">
        <v>48</v>
      </c>
      <c r="E37" s="61">
        <f t="shared" si="6"/>
        <v>1111.68</v>
      </c>
      <c r="F37" s="62">
        <f t="shared" si="7"/>
        <v>576</v>
      </c>
      <c r="G37" s="61">
        <f t="shared" si="5"/>
        <v>13340.16</v>
      </c>
    </row>
    <row r="38" spans="1:7" x14ac:dyDescent="0.45">
      <c r="A38" s="52" t="s">
        <v>51</v>
      </c>
      <c r="B38" s="52" t="s">
        <v>52</v>
      </c>
      <c r="C38" s="71">
        <v>30</v>
      </c>
      <c r="D38" s="55">
        <v>30</v>
      </c>
      <c r="E38" s="56">
        <f t="shared" si="6"/>
        <v>900</v>
      </c>
      <c r="F38" s="55">
        <f t="shared" si="7"/>
        <v>360</v>
      </c>
      <c r="G38" s="56">
        <f t="shared" si="5"/>
        <v>10800</v>
      </c>
    </row>
    <row r="39" spans="1:7" x14ac:dyDescent="0.45">
      <c r="A39" s="72" t="s">
        <v>78</v>
      </c>
      <c r="B39" s="72" t="s">
        <v>53</v>
      </c>
      <c r="C39" s="73">
        <v>0.63</v>
      </c>
      <c r="D39" s="62">
        <v>130</v>
      </c>
      <c r="E39" s="61">
        <f t="shared" si="6"/>
        <v>81.900000000000006</v>
      </c>
      <c r="F39" s="62">
        <f t="shared" si="7"/>
        <v>1560</v>
      </c>
      <c r="G39" s="61">
        <f t="shared" si="5"/>
        <v>982.8</v>
      </c>
    </row>
    <row r="40" spans="1:7" x14ac:dyDescent="0.45">
      <c r="A40" s="52" t="s">
        <v>54</v>
      </c>
      <c r="B40" s="52" t="s">
        <v>55</v>
      </c>
      <c r="C40" s="71">
        <v>17.04</v>
      </c>
      <c r="D40" s="55">
        <v>20</v>
      </c>
      <c r="E40" s="56">
        <f t="shared" si="6"/>
        <v>340.79999999999995</v>
      </c>
      <c r="F40" s="55">
        <f t="shared" si="7"/>
        <v>240</v>
      </c>
      <c r="G40" s="56">
        <f t="shared" si="5"/>
        <v>4089.6</v>
      </c>
    </row>
    <row r="41" spans="1:7" x14ac:dyDescent="0.45">
      <c r="A41" s="72" t="s">
        <v>56</v>
      </c>
      <c r="B41" s="72" t="s">
        <v>57</v>
      </c>
      <c r="C41" s="73">
        <v>32.4</v>
      </c>
      <c r="D41" s="62">
        <v>20</v>
      </c>
      <c r="E41" s="61">
        <f t="shared" si="6"/>
        <v>648</v>
      </c>
      <c r="F41" s="62">
        <f t="shared" si="7"/>
        <v>240</v>
      </c>
      <c r="G41" s="61">
        <f t="shared" si="5"/>
        <v>7776</v>
      </c>
    </row>
    <row r="42" spans="1:7" x14ac:dyDescent="0.45">
      <c r="A42" s="52" t="s">
        <v>43</v>
      </c>
      <c r="B42" s="52" t="s">
        <v>44</v>
      </c>
      <c r="C42" s="71">
        <v>6.3</v>
      </c>
      <c r="D42" s="55">
        <v>930</v>
      </c>
      <c r="E42" s="56">
        <f t="shared" si="6"/>
        <v>5859</v>
      </c>
      <c r="F42" s="55">
        <f t="shared" si="7"/>
        <v>11160</v>
      </c>
      <c r="G42" s="56">
        <f t="shared" si="5"/>
        <v>70308</v>
      </c>
    </row>
    <row r="43" spans="1:7" x14ac:dyDescent="0.45">
      <c r="A43" s="72" t="s">
        <v>45</v>
      </c>
      <c r="B43" s="79" t="s">
        <v>166</v>
      </c>
      <c r="C43" s="73">
        <v>10</v>
      </c>
      <c r="D43" s="55">
        <v>75</v>
      </c>
      <c r="E43" s="56">
        <f>D43*C43</f>
        <v>750</v>
      </c>
      <c r="F43" s="55">
        <f>D43*12</f>
        <v>900</v>
      </c>
      <c r="G43" s="56">
        <f t="shared" si="5"/>
        <v>9000</v>
      </c>
    </row>
    <row r="44" spans="1:7" x14ac:dyDescent="0.45">
      <c r="A44" s="52" t="s">
        <v>45</v>
      </c>
      <c r="B44" s="52" t="s">
        <v>46</v>
      </c>
      <c r="C44" s="71">
        <v>10</v>
      </c>
      <c r="D44" s="62">
        <v>202</v>
      </c>
      <c r="E44" s="61">
        <f t="shared" ref="E44:E48" si="8">D44*C44</f>
        <v>2020</v>
      </c>
      <c r="F44" s="62">
        <f t="shared" ref="F44:F47" si="9">D44*12</f>
        <v>2424</v>
      </c>
      <c r="G44" s="61">
        <f t="shared" si="5"/>
        <v>24240</v>
      </c>
    </row>
    <row r="45" spans="1:7" x14ac:dyDescent="0.45">
      <c r="A45" s="72" t="s">
        <v>45</v>
      </c>
      <c r="B45" s="72" t="s">
        <v>47</v>
      </c>
      <c r="C45" s="73">
        <v>10</v>
      </c>
      <c r="D45" s="55">
        <v>240</v>
      </c>
      <c r="E45" s="56">
        <f t="shared" si="8"/>
        <v>2400</v>
      </c>
      <c r="F45" s="55">
        <f t="shared" si="9"/>
        <v>2880</v>
      </c>
      <c r="G45" s="56">
        <f t="shared" si="5"/>
        <v>28800</v>
      </c>
    </row>
    <row r="46" spans="1:7" x14ac:dyDescent="0.45">
      <c r="A46" s="80" t="s">
        <v>45</v>
      </c>
      <c r="B46" s="80" t="s">
        <v>48</v>
      </c>
      <c r="C46" s="81">
        <v>10</v>
      </c>
      <c r="D46" s="80">
        <v>360</v>
      </c>
      <c r="E46" s="81">
        <f t="shared" si="8"/>
        <v>3600</v>
      </c>
      <c r="F46" s="80">
        <f t="shared" si="9"/>
        <v>4320</v>
      </c>
      <c r="G46" s="81">
        <f t="shared" si="5"/>
        <v>43200</v>
      </c>
    </row>
    <row r="47" spans="1:7" x14ac:dyDescent="0.45">
      <c r="A47" s="80" t="s">
        <v>45</v>
      </c>
      <c r="B47" s="80" t="s">
        <v>49</v>
      </c>
      <c r="C47" s="81">
        <v>10</v>
      </c>
      <c r="D47" s="80">
        <v>60</v>
      </c>
      <c r="E47" s="81">
        <f t="shared" si="8"/>
        <v>600</v>
      </c>
      <c r="F47" s="80">
        <f t="shared" si="9"/>
        <v>720</v>
      </c>
      <c r="G47" s="81">
        <f t="shared" si="5"/>
        <v>7200</v>
      </c>
    </row>
    <row r="48" spans="1:7" x14ac:dyDescent="0.45">
      <c r="A48" s="80" t="s">
        <v>45</v>
      </c>
      <c r="B48" s="80" t="s">
        <v>141</v>
      </c>
      <c r="C48" s="81">
        <v>10</v>
      </c>
      <c r="D48" s="80">
        <v>240</v>
      </c>
      <c r="E48" s="81">
        <f t="shared" si="8"/>
        <v>2400</v>
      </c>
      <c r="F48" s="80">
        <v>2880</v>
      </c>
      <c r="G48" s="81">
        <f t="shared" si="5"/>
        <v>28800</v>
      </c>
    </row>
    <row r="49" spans="1:10" ht="15.6" customHeight="1" x14ac:dyDescent="0.45">
      <c r="A49" s="80" t="s">
        <v>148</v>
      </c>
      <c r="B49" s="82" t="s">
        <v>171</v>
      </c>
      <c r="C49" s="81">
        <v>179.46</v>
      </c>
      <c r="D49" s="80">
        <v>2</v>
      </c>
      <c r="E49" s="81">
        <f t="shared" ref="E49:E59" si="10">D49*C49</f>
        <v>358.92</v>
      </c>
      <c r="F49" s="80">
        <f t="shared" ref="F49:F59" si="11">D49*12</f>
        <v>24</v>
      </c>
      <c r="G49" s="81">
        <f t="shared" si="5"/>
        <v>4307.04</v>
      </c>
    </row>
    <row r="50" spans="1:10" ht="25.5" customHeight="1" x14ac:dyDescent="0.45">
      <c r="A50" s="80" t="s">
        <v>187</v>
      </c>
      <c r="B50" s="82" t="s">
        <v>189</v>
      </c>
      <c r="C50" s="81">
        <v>37.950000000000003</v>
      </c>
      <c r="D50" s="80">
        <v>10</v>
      </c>
      <c r="E50" s="81">
        <f t="shared" si="10"/>
        <v>379.5</v>
      </c>
      <c r="F50" s="80">
        <f t="shared" si="11"/>
        <v>120</v>
      </c>
      <c r="G50" s="81">
        <f t="shared" si="5"/>
        <v>4554</v>
      </c>
    </row>
    <row r="51" spans="1:10" ht="15.6" customHeight="1" x14ac:dyDescent="0.45">
      <c r="A51" s="80" t="s">
        <v>188</v>
      </c>
      <c r="B51" s="82" t="s">
        <v>190</v>
      </c>
      <c r="C51" s="81">
        <v>24.2</v>
      </c>
      <c r="D51" s="80">
        <v>10</v>
      </c>
      <c r="E51" s="81">
        <f t="shared" si="10"/>
        <v>242</v>
      </c>
      <c r="F51" s="80">
        <f t="shared" si="11"/>
        <v>120</v>
      </c>
      <c r="G51" s="81">
        <f t="shared" si="5"/>
        <v>2904</v>
      </c>
    </row>
    <row r="52" spans="1:10" x14ac:dyDescent="0.45">
      <c r="A52" s="80" t="s">
        <v>147</v>
      </c>
      <c r="B52" s="82" t="s">
        <v>161</v>
      </c>
      <c r="C52" s="81">
        <v>39.6</v>
      </c>
      <c r="D52" s="80">
        <v>2</v>
      </c>
      <c r="E52" s="81">
        <f t="shared" si="10"/>
        <v>79.2</v>
      </c>
      <c r="F52" s="80">
        <f t="shared" si="11"/>
        <v>24</v>
      </c>
      <c r="G52" s="81">
        <f t="shared" si="5"/>
        <v>950.40000000000009</v>
      </c>
    </row>
    <row r="53" spans="1:10" x14ac:dyDescent="0.45">
      <c r="A53" s="80" t="s">
        <v>149</v>
      </c>
      <c r="B53" s="82" t="s">
        <v>164</v>
      </c>
      <c r="C53" s="81">
        <v>859.2</v>
      </c>
      <c r="D53" s="80">
        <v>5</v>
      </c>
      <c r="E53" s="81">
        <f t="shared" si="10"/>
        <v>4296</v>
      </c>
      <c r="F53" s="80">
        <f t="shared" si="11"/>
        <v>60</v>
      </c>
      <c r="G53" s="81">
        <f t="shared" si="5"/>
        <v>51552</v>
      </c>
    </row>
    <row r="54" spans="1:10" ht="16.25" customHeight="1" x14ac:dyDescent="0.45">
      <c r="A54" s="80" t="s">
        <v>150</v>
      </c>
      <c r="B54" s="82" t="s">
        <v>165</v>
      </c>
      <c r="C54" s="81">
        <v>600</v>
      </c>
      <c r="D54" s="80">
        <v>5</v>
      </c>
      <c r="E54" s="81">
        <f t="shared" si="10"/>
        <v>3000</v>
      </c>
      <c r="F54" s="80">
        <f t="shared" si="11"/>
        <v>60</v>
      </c>
      <c r="G54" s="81">
        <f t="shared" si="5"/>
        <v>36000</v>
      </c>
    </row>
    <row r="55" spans="1:10" x14ac:dyDescent="0.45">
      <c r="A55" s="80" t="s">
        <v>31</v>
      </c>
      <c r="B55" s="82" t="s">
        <v>182</v>
      </c>
      <c r="C55" s="81">
        <v>9</v>
      </c>
      <c r="D55" s="80">
        <v>20</v>
      </c>
      <c r="E55" s="81">
        <f t="shared" si="10"/>
        <v>180</v>
      </c>
      <c r="F55" s="80">
        <f t="shared" si="11"/>
        <v>240</v>
      </c>
      <c r="G55" s="81">
        <f t="shared" si="5"/>
        <v>2160</v>
      </c>
    </row>
    <row r="56" spans="1:10" ht="17.45" customHeight="1" x14ac:dyDescent="0.45">
      <c r="A56" s="80" t="s">
        <v>143</v>
      </c>
      <c r="B56" s="82" t="s">
        <v>232</v>
      </c>
      <c r="C56" s="81">
        <v>67.86</v>
      </c>
      <c r="D56" s="80">
        <v>32</v>
      </c>
      <c r="E56" s="81">
        <f t="shared" si="10"/>
        <v>2171.52</v>
      </c>
      <c r="F56" s="80">
        <f t="shared" si="11"/>
        <v>384</v>
      </c>
      <c r="G56" s="81">
        <f t="shared" si="5"/>
        <v>26058.239999999998</v>
      </c>
    </row>
    <row r="57" spans="1:10" ht="14" customHeight="1" x14ac:dyDescent="0.45">
      <c r="A57" s="80" t="s">
        <v>144</v>
      </c>
      <c r="B57" s="82" t="s">
        <v>231</v>
      </c>
      <c r="C57" s="81">
        <v>165</v>
      </c>
      <c r="D57" s="80">
        <v>1</v>
      </c>
      <c r="E57" s="81">
        <f t="shared" si="10"/>
        <v>165</v>
      </c>
      <c r="F57" s="80">
        <f t="shared" si="11"/>
        <v>12</v>
      </c>
      <c r="G57" s="81">
        <f t="shared" si="5"/>
        <v>1980</v>
      </c>
    </row>
    <row r="58" spans="1:10" x14ac:dyDescent="0.45">
      <c r="A58" s="80" t="s">
        <v>145</v>
      </c>
      <c r="B58" s="80" t="s">
        <v>162</v>
      </c>
      <c r="C58" s="81">
        <v>30</v>
      </c>
      <c r="D58" s="80">
        <v>5</v>
      </c>
      <c r="E58" s="81">
        <f t="shared" si="10"/>
        <v>150</v>
      </c>
      <c r="F58" s="80">
        <f t="shared" si="11"/>
        <v>60</v>
      </c>
      <c r="G58" s="81">
        <f t="shared" si="5"/>
        <v>1800</v>
      </c>
    </row>
    <row r="59" spans="1:10" ht="27.75" customHeight="1" x14ac:dyDescent="0.45">
      <c r="A59" s="83" t="s">
        <v>146</v>
      </c>
      <c r="B59" s="82" t="s">
        <v>163</v>
      </c>
      <c r="C59" s="84">
        <v>30</v>
      </c>
      <c r="D59" s="83">
        <v>18</v>
      </c>
      <c r="E59" s="81">
        <f t="shared" si="10"/>
        <v>540</v>
      </c>
      <c r="F59" s="80">
        <f t="shared" si="11"/>
        <v>216</v>
      </c>
      <c r="G59" s="81">
        <f t="shared" si="5"/>
        <v>6480</v>
      </c>
    </row>
    <row r="60" spans="1:10" x14ac:dyDescent="0.45">
      <c r="A60" s="80" t="s">
        <v>142</v>
      </c>
      <c r="B60" s="80" t="s">
        <v>170</v>
      </c>
      <c r="C60" s="81">
        <v>5.15</v>
      </c>
      <c r="D60" s="80">
        <v>160</v>
      </c>
      <c r="E60" s="81">
        <f>D60*C60</f>
        <v>824</v>
      </c>
      <c r="F60" s="80">
        <f>D60*12</f>
        <v>1920</v>
      </c>
      <c r="G60" s="81">
        <f t="shared" si="5"/>
        <v>9888</v>
      </c>
    </row>
    <row r="61" spans="1:10" x14ac:dyDescent="0.45">
      <c r="A61" s="85"/>
      <c r="B61" s="10" t="s">
        <v>23</v>
      </c>
      <c r="C61" s="11">
        <f>SUM(C27:C60)</f>
        <v>2522.1300000000006</v>
      </c>
      <c r="D61" s="10">
        <f>SUM(D27:D60)</f>
        <v>6054</v>
      </c>
      <c r="E61" s="11">
        <f>SUM(E27:E60)</f>
        <v>81368.320000000007</v>
      </c>
      <c r="F61" s="10">
        <f>SUM(F27:F60)</f>
        <v>72648</v>
      </c>
      <c r="G61" s="11">
        <f>SUM(G27:G60)</f>
        <v>976419.8400000002</v>
      </c>
    </row>
    <row r="62" spans="1:10" x14ac:dyDescent="0.45">
      <c r="A62" s="406" t="s">
        <v>167</v>
      </c>
      <c r="B62" s="407"/>
      <c r="C62" s="407"/>
      <c r="D62" s="407"/>
      <c r="E62" s="407"/>
      <c r="F62" s="407"/>
      <c r="G62" s="407"/>
    </row>
    <row r="63" spans="1:10" x14ac:dyDescent="0.45">
      <c r="A63" s="406"/>
      <c r="B63" s="406"/>
      <c r="C63" s="406"/>
      <c r="D63" s="406"/>
      <c r="E63" s="406"/>
      <c r="F63" s="406"/>
      <c r="G63" s="406"/>
    </row>
    <row r="64" spans="1:10" ht="28.5" x14ac:dyDescent="0.45">
      <c r="A64" s="69" t="s">
        <v>0</v>
      </c>
      <c r="B64" s="47" t="s">
        <v>1</v>
      </c>
      <c r="C64" s="47" t="s">
        <v>139</v>
      </c>
      <c r="D64" s="87" t="s">
        <v>174</v>
      </c>
      <c r="E64" s="69" t="s">
        <v>172</v>
      </c>
      <c r="F64" s="50" t="s">
        <v>3</v>
      </c>
      <c r="G64" s="51" t="s">
        <v>4</v>
      </c>
      <c r="H64" s="51" t="s">
        <v>5</v>
      </c>
      <c r="I64" s="50" t="s">
        <v>6</v>
      </c>
      <c r="J64" s="88" t="s">
        <v>196</v>
      </c>
    </row>
    <row r="65" spans="1:10" x14ac:dyDescent="0.45">
      <c r="A65" s="72" t="s">
        <v>158</v>
      </c>
      <c r="B65" s="89" t="s">
        <v>160</v>
      </c>
      <c r="C65" s="90">
        <v>103.81</v>
      </c>
      <c r="D65" s="91">
        <v>120</v>
      </c>
      <c r="E65" s="90">
        <f>C65+D65</f>
        <v>223.81</v>
      </c>
      <c r="F65" s="92">
        <v>112</v>
      </c>
      <c r="G65" s="93">
        <f t="shared" ref="G65:G72" si="12">E65*F65</f>
        <v>25066.720000000001</v>
      </c>
      <c r="H65" s="94">
        <f>F65*12</f>
        <v>1344</v>
      </c>
      <c r="I65" s="95">
        <f t="shared" ref="I65:I72" si="13">H65*E65</f>
        <v>300800.64000000001</v>
      </c>
      <c r="J65" s="96">
        <f t="shared" ref="J65:J73" si="14">D65*F65</f>
        <v>13440</v>
      </c>
    </row>
    <row r="66" spans="1:10" x14ac:dyDescent="0.45">
      <c r="A66" s="52" t="s">
        <v>60</v>
      </c>
      <c r="B66" s="52" t="s">
        <v>159</v>
      </c>
      <c r="C66" s="97">
        <v>268.75</v>
      </c>
      <c r="D66" s="71"/>
      <c r="E66" s="98">
        <f t="shared" ref="E66:E72" si="15">C66+D66</f>
        <v>268.75</v>
      </c>
      <c r="F66" s="99">
        <v>10</v>
      </c>
      <c r="G66" s="100">
        <f t="shared" si="12"/>
        <v>2687.5</v>
      </c>
      <c r="H66" s="99">
        <f>F66*12</f>
        <v>120</v>
      </c>
      <c r="I66" s="101">
        <f t="shared" si="13"/>
        <v>32250</v>
      </c>
      <c r="J66" s="91">
        <f t="shared" si="14"/>
        <v>0</v>
      </c>
    </row>
    <row r="67" spans="1:10" x14ac:dyDescent="0.45">
      <c r="A67" s="80" t="s">
        <v>33</v>
      </c>
      <c r="B67" s="80" t="s">
        <v>62</v>
      </c>
      <c r="C67" s="102">
        <v>67.83</v>
      </c>
      <c r="D67" s="103">
        <v>250</v>
      </c>
      <c r="E67" s="104">
        <f t="shared" si="15"/>
        <v>317.83</v>
      </c>
      <c r="F67" s="80">
        <v>32</v>
      </c>
      <c r="G67" s="105">
        <f t="shared" si="12"/>
        <v>10170.56</v>
      </c>
      <c r="H67" s="80">
        <f t="shared" ref="H67:H73" si="16">F67*12</f>
        <v>384</v>
      </c>
      <c r="I67" s="106">
        <f t="shared" si="13"/>
        <v>122046.72</v>
      </c>
      <c r="J67" s="91">
        <f t="shared" si="14"/>
        <v>8000</v>
      </c>
    </row>
    <row r="68" spans="1:10" x14ac:dyDescent="0.45">
      <c r="A68" s="80" t="s">
        <v>33</v>
      </c>
      <c r="B68" s="107" t="s">
        <v>63</v>
      </c>
      <c r="C68" s="108">
        <v>24.2</v>
      </c>
      <c r="D68" s="109">
        <v>149</v>
      </c>
      <c r="E68" s="104">
        <f t="shared" si="15"/>
        <v>173.2</v>
      </c>
      <c r="F68" s="80">
        <v>5</v>
      </c>
      <c r="G68" s="105">
        <f t="shared" si="12"/>
        <v>866</v>
      </c>
      <c r="H68" s="80">
        <f t="shared" si="16"/>
        <v>60</v>
      </c>
      <c r="I68" s="106">
        <f>H68*E68</f>
        <v>10392</v>
      </c>
      <c r="J68" s="91">
        <f>D68*F68</f>
        <v>745</v>
      </c>
    </row>
    <row r="69" spans="1:10" x14ac:dyDescent="0.45">
      <c r="A69" s="80" t="s">
        <v>33</v>
      </c>
      <c r="B69" s="80" t="s">
        <v>64</v>
      </c>
      <c r="C69" s="102">
        <v>39.6</v>
      </c>
      <c r="D69" s="103">
        <v>269</v>
      </c>
      <c r="E69" s="104">
        <f t="shared" si="15"/>
        <v>308.60000000000002</v>
      </c>
      <c r="F69" s="80">
        <v>5</v>
      </c>
      <c r="G69" s="105">
        <f t="shared" si="12"/>
        <v>1543</v>
      </c>
      <c r="H69" s="80">
        <f t="shared" si="16"/>
        <v>60</v>
      </c>
      <c r="I69" s="106">
        <f t="shared" si="13"/>
        <v>18516</v>
      </c>
      <c r="J69" s="91">
        <f t="shared" si="14"/>
        <v>1345</v>
      </c>
    </row>
    <row r="70" spans="1:10" x14ac:dyDescent="0.45">
      <c r="A70" s="80" t="s">
        <v>33</v>
      </c>
      <c r="B70" s="107" t="s">
        <v>184</v>
      </c>
      <c r="C70" s="108">
        <v>24.2</v>
      </c>
      <c r="D70" s="109">
        <v>130</v>
      </c>
      <c r="E70" s="104">
        <f t="shared" si="15"/>
        <v>154.19999999999999</v>
      </c>
      <c r="F70" s="80">
        <v>5</v>
      </c>
      <c r="G70" s="105">
        <f t="shared" si="12"/>
        <v>771</v>
      </c>
      <c r="H70" s="80">
        <f t="shared" si="16"/>
        <v>60</v>
      </c>
      <c r="I70" s="106">
        <f t="shared" si="13"/>
        <v>9252</v>
      </c>
      <c r="J70" s="91">
        <f t="shared" si="14"/>
        <v>650</v>
      </c>
    </row>
    <row r="71" spans="1:10" x14ac:dyDescent="0.45">
      <c r="A71" s="80" t="s">
        <v>33</v>
      </c>
      <c r="B71" s="80" t="s">
        <v>66</v>
      </c>
      <c r="C71" s="102">
        <v>24.2</v>
      </c>
      <c r="D71" s="103">
        <v>136</v>
      </c>
      <c r="E71" s="104">
        <f t="shared" si="15"/>
        <v>160.19999999999999</v>
      </c>
      <c r="F71" s="80">
        <v>5</v>
      </c>
      <c r="G71" s="105">
        <f t="shared" si="12"/>
        <v>801</v>
      </c>
      <c r="H71" s="80">
        <f t="shared" si="16"/>
        <v>60</v>
      </c>
      <c r="I71" s="106">
        <f t="shared" si="13"/>
        <v>9612</v>
      </c>
      <c r="J71" s="91">
        <f t="shared" si="14"/>
        <v>680</v>
      </c>
    </row>
    <row r="72" spans="1:10" x14ac:dyDescent="0.45">
      <c r="A72" s="110" t="s">
        <v>33</v>
      </c>
      <c r="B72" s="111" t="s">
        <v>85</v>
      </c>
      <c r="C72" s="112">
        <v>24.2</v>
      </c>
      <c r="D72" s="113">
        <v>280</v>
      </c>
      <c r="E72" s="114">
        <f t="shared" si="15"/>
        <v>304.2</v>
      </c>
      <c r="F72" s="110">
        <v>5</v>
      </c>
      <c r="G72" s="105">
        <f t="shared" si="12"/>
        <v>1521</v>
      </c>
      <c r="H72" s="110">
        <f t="shared" si="16"/>
        <v>60</v>
      </c>
      <c r="I72" s="106">
        <f t="shared" si="13"/>
        <v>18252</v>
      </c>
      <c r="J72" s="91">
        <f t="shared" si="14"/>
        <v>1400</v>
      </c>
    </row>
    <row r="73" spans="1:10" x14ac:dyDescent="0.45">
      <c r="A73" s="80"/>
      <c r="B73" s="80" t="s">
        <v>130</v>
      </c>
      <c r="C73" s="108"/>
      <c r="D73" s="103">
        <v>866.64</v>
      </c>
      <c r="E73" s="81">
        <v>866.64</v>
      </c>
      <c r="F73" s="80">
        <v>14</v>
      </c>
      <c r="G73" s="115">
        <f>F73*E73</f>
        <v>12132.96</v>
      </c>
      <c r="H73" s="80">
        <f t="shared" si="16"/>
        <v>168</v>
      </c>
      <c r="I73" s="116">
        <f>E73*12</f>
        <v>10399.68</v>
      </c>
      <c r="J73" s="91">
        <f t="shared" si="14"/>
        <v>12132.96</v>
      </c>
    </row>
    <row r="74" spans="1:10" x14ac:dyDescent="0.45">
      <c r="A74" s="117"/>
      <c r="B74" s="30" t="s">
        <v>23</v>
      </c>
      <c r="C74" s="118">
        <f>SUM(C65:C72)</f>
        <v>576.79000000000008</v>
      </c>
      <c r="D74" s="119">
        <f t="shared" ref="D74:I74" si="17">SUM(D65:D73)</f>
        <v>2200.64</v>
      </c>
      <c r="E74" s="118">
        <f t="shared" si="17"/>
        <v>2777.4300000000003</v>
      </c>
      <c r="F74" s="30">
        <f t="shared" si="17"/>
        <v>193</v>
      </c>
      <c r="G74" s="118">
        <f t="shared" si="17"/>
        <v>55559.74</v>
      </c>
      <c r="H74" s="30">
        <f t="shared" si="17"/>
        <v>2316</v>
      </c>
      <c r="I74" s="118">
        <f t="shared" si="17"/>
        <v>531521.04</v>
      </c>
      <c r="J74" s="96">
        <f>SUM(J65:J73)</f>
        <v>38392.959999999999</v>
      </c>
    </row>
    <row r="75" spans="1:10" x14ac:dyDescent="0.45">
      <c r="A75" s="372" t="s">
        <v>168</v>
      </c>
      <c r="B75" s="372"/>
      <c r="C75" s="372"/>
      <c r="D75" s="372"/>
      <c r="E75" s="372"/>
      <c r="F75" s="372"/>
      <c r="G75" s="372"/>
      <c r="H75" s="372"/>
    </row>
    <row r="76" spans="1:10" x14ac:dyDescent="0.45">
      <c r="A76" s="372"/>
      <c r="B76" s="372"/>
      <c r="C76" s="372"/>
      <c r="D76" s="372"/>
      <c r="E76" s="372"/>
      <c r="F76" s="372"/>
      <c r="G76" s="372"/>
      <c r="H76" s="372"/>
    </row>
    <row r="77" spans="1:10" ht="28.5" x14ac:dyDescent="0.45">
      <c r="A77" s="69" t="s">
        <v>0</v>
      </c>
      <c r="B77" s="47" t="s">
        <v>1</v>
      </c>
      <c r="C77" s="47" t="s">
        <v>139</v>
      </c>
      <c r="D77" s="87" t="s">
        <v>175</v>
      </c>
      <c r="E77" s="69" t="s">
        <v>172</v>
      </c>
      <c r="F77" s="50" t="s">
        <v>3</v>
      </c>
      <c r="G77" s="51" t="s">
        <v>4</v>
      </c>
      <c r="H77" s="51" t="s">
        <v>5</v>
      </c>
      <c r="I77" s="50" t="s">
        <v>6</v>
      </c>
      <c r="J77" s="120" t="s">
        <v>183</v>
      </c>
    </row>
    <row r="78" spans="1:10" x14ac:dyDescent="0.45">
      <c r="A78" s="121" t="s">
        <v>67</v>
      </c>
      <c r="B78" s="80" t="s">
        <v>68</v>
      </c>
      <c r="C78" s="122">
        <v>48.16</v>
      </c>
      <c r="D78" s="123">
        <v>305</v>
      </c>
      <c r="E78" s="102">
        <f>C78+D78</f>
        <v>353.15999999999997</v>
      </c>
      <c r="F78" s="80">
        <v>42</v>
      </c>
      <c r="G78" s="81">
        <f>F78*E78</f>
        <v>14832.72</v>
      </c>
      <c r="H78" s="80">
        <f>F78*12</f>
        <v>504</v>
      </c>
      <c r="I78" s="81">
        <f>H78*E78</f>
        <v>177992.63999999998</v>
      </c>
      <c r="J78" s="91">
        <f>E78*F78</f>
        <v>14832.72</v>
      </c>
    </row>
    <row r="79" spans="1:10" x14ac:dyDescent="0.45">
      <c r="A79" s="110" t="s">
        <v>67</v>
      </c>
      <c r="B79" s="124" t="s">
        <v>68</v>
      </c>
      <c r="C79" s="125">
        <v>48.16</v>
      </c>
      <c r="D79" s="409">
        <v>334.84</v>
      </c>
      <c r="E79" s="419">
        <v>383</v>
      </c>
      <c r="F79" s="424">
        <v>5</v>
      </c>
      <c r="G79" s="426">
        <f>F79*E79</f>
        <v>1915</v>
      </c>
      <c r="H79" s="424">
        <f>F79*12</f>
        <v>60</v>
      </c>
      <c r="I79" s="426">
        <f>H79*E79</f>
        <v>22980</v>
      </c>
      <c r="J79" s="91">
        <f>D79*F79</f>
        <v>1674.1999999999998</v>
      </c>
    </row>
    <row r="80" spans="1:10" x14ac:dyDescent="0.45">
      <c r="A80" s="83" t="s">
        <v>86</v>
      </c>
      <c r="B80" s="128" t="s">
        <v>132</v>
      </c>
      <c r="C80" s="129">
        <v>29.84</v>
      </c>
      <c r="D80" s="410"/>
      <c r="E80" s="420"/>
      <c r="F80" s="425"/>
      <c r="G80" s="427"/>
      <c r="H80" s="425"/>
      <c r="I80" s="427"/>
      <c r="J80" s="91">
        <v>0</v>
      </c>
    </row>
    <row r="81" spans="1:10" x14ac:dyDescent="0.45">
      <c r="A81" s="130" t="s">
        <v>69</v>
      </c>
      <c r="B81" s="130" t="s">
        <v>70</v>
      </c>
      <c r="C81" s="131">
        <v>112.66</v>
      </c>
      <c r="D81" s="103">
        <v>410</v>
      </c>
      <c r="E81" s="102">
        <v>522.66</v>
      </c>
      <c r="F81" s="80">
        <v>20</v>
      </c>
      <c r="G81" s="81">
        <f>F81*E81</f>
        <v>10453.199999999999</v>
      </c>
      <c r="H81" s="80">
        <f>F81*12</f>
        <v>240</v>
      </c>
      <c r="I81" s="81">
        <f>H81*E81</f>
        <v>125438.39999999999</v>
      </c>
      <c r="J81" s="91">
        <f>D81*F81</f>
        <v>8200</v>
      </c>
    </row>
    <row r="82" spans="1:10" x14ac:dyDescent="0.45">
      <c r="A82" s="110" t="s">
        <v>69</v>
      </c>
      <c r="B82" s="132" t="s">
        <v>70</v>
      </c>
      <c r="C82" s="133">
        <v>112.66</v>
      </c>
      <c r="D82" s="428">
        <v>423.66</v>
      </c>
      <c r="E82" s="419">
        <v>536.32000000000005</v>
      </c>
      <c r="F82" s="424">
        <v>23</v>
      </c>
      <c r="G82" s="426">
        <f>F82*E82</f>
        <v>12335.36</v>
      </c>
      <c r="H82" s="424">
        <f>F82*12</f>
        <v>276</v>
      </c>
      <c r="I82" s="426">
        <f>H82*E82</f>
        <v>148024.32000000001</v>
      </c>
      <c r="J82" s="91">
        <f>D82*F82</f>
        <v>9744.18</v>
      </c>
    </row>
    <row r="83" spans="1:10" x14ac:dyDescent="0.45">
      <c r="A83" s="83" t="s">
        <v>87</v>
      </c>
      <c r="B83" s="128" t="s">
        <v>133</v>
      </c>
      <c r="C83" s="129">
        <v>13.66</v>
      </c>
      <c r="D83" s="429"/>
      <c r="E83" s="420"/>
      <c r="F83" s="425"/>
      <c r="G83" s="427"/>
      <c r="H83" s="425"/>
      <c r="I83" s="427"/>
      <c r="J83" s="91">
        <v>0</v>
      </c>
    </row>
    <row r="84" spans="1:10" x14ac:dyDescent="0.45">
      <c r="A84" s="80" t="s">
        <v>136</v>
      </c>
      <c r="B84" s="124" t="s">
        <v>137</v>
      </c>
      <c r="C84" s="125">
        <v>84</v>
      </c>
      <c r="D84" s="134">
        <v>500</v>
      </c>
      <c r="E84" s="135">
        <f>C84+D84</f>
        <v>584</v>
      </c>
      <c r="F84" s="136">
        <v>3</v>
      </c>
      <c r="G84" s="137">
        <f>F84*E84</f>
        <v>1752</v>
      </c>
      <c r="H84" s="136">
        <f>F84*12</f>
        <v>36</v>
      </c>
      <c r="I84" s="137">
        <f>H84*E84</f>
        <v>21024</v>
      </c>
      <c r="J84" s="91">
        <f>D84*F84</f>
        <v>1500</v>
      </c>
    </row>
    <row r="85" spans="1:10" x14ac:dyDescent="0.45">
      <c r="A85" s="117"/>
      <c r="B85" s="10" t="s">
        <v>23</v>
      </c>
      <c r="C85" s="118">
        <f>SUM(C78:C84)</f>
        <v>449.14000000000004</v>
      </c>
      <c r="D85" s="119">
        <f t="shared" ref="D85:I85" si="18">SUM(D78:D84)</f>
        <v>1973.5</v>
      </c>
      <c r="E85" s="118">
        <f t="shared" si="18"/>
        <v>2379.14</v>
      </c>
      <c r="F85" s="30">
        <f t="shared" si="18"/>
        <v>93</v>
      </c>
      <c r="G85" s="118">
        <f t="shared" si="18"/>
        <v>41288.28</v>
      </c>
      <c r="H85" s="30">
        <f t="shared" si="18"/>
        <v>1116</v>
      </c>
      <c r="I85" s="118">
        <f t="shared" si="18"/>
        <v>495459.36</v>
      </c>
      <c r="J85" s="138">
        <f>SUM(J78:J84)</f>
        <v>35951.1</v>
      </c>
    </row>
    <row r="86" spans="1:10" ht="42.75" x14ac:dyDescent="0.45">
      <c r="A86" s="372" t="s">
        <v>169</v>
      </c>
      <c r="B86" s="372"/>
      <c r="C86" s="372"/>
      <c r="D86" s="372"/>
      <c r="E86" s="372"/>
      <c r="F86" s="372"/>
      <c r="G86" s="372"/>
      <c r="H86" s="372"/>
      <c r="I86" s="139" t="s">
        <v>185</v>
      </c>
      <c r="J86" s="96">
        <f>J74+J85</f>
        <v>74344.06</v>
      </c>
    </row>
    <row r="87" spans="1:10" x14ac:dyDescent="0.45">
      <c r="A87" s="373"/>
      <c r="B87" s="373"/>
      <c r="C87" s="373"/>
      <c r="D87" s="373"/>
      <c r="E87" s="373"/>
      <c r="F87" s="373"/>
      <c r="G87" s="373"/>
      <c r="H87" s="372"/>
    </row>
    <row r="88" spans="1:10" ht="28.5" x14ac:dyDescent="0.45">
      <c r="A88" s="69" t="s">
        <v>0</v>
      </c>
      <c r="B88" s="47" t="s">
        <v>1</v>
      </c>
      <c r="C88" s="87" t="s">
        <v>175</v>
      </c>
      <c r="D88" s="140" t="s">
        <v>191</v>
      </c>
      <c r="E88" s="141" t="s">
        <v>192</v>
      </c>
      <c r="F88" s="141" t="s">
        <v>193</v>
      </c>
      <c r="G88" s="142" t="s">
        <v>194</v>
      </c>
      <c r="H88" s="143"/>
      <c r="I88" s="143"/>
      <c r="J88" s="144"/>
    </row>
    <row r="89" spans="1:10" x14ac:dyDescent="0.45">
      <c r="A89" s="110" t="s">
        <v>151</v>
      </c>
      <c r="B89" s="132" t="s">
        <v>209</v>
      </c>
      <c r="C89" s="145">
        <v>3024</v>
      </c>
      <c r="D89" s="127">
        <v>5</v>
      </c>
      <c r="E89" s="126">
        <f>C89*D89</f>
        <v>15120</v>
      </c>
      <c r="F89" s="127">
        <f>D89*12</f>
        <v>60</v>
      </c>
      <c r="G89" s="146">
        <f>F89*C89</f>
        <v>181440</v>
      </c>
      <c r="H89" s="147"/>
      <c r="I89" s="147"/>
      <c r="J89" s="148"/>
    </row>
    <row r="90" spans="1:10" x14ac:dyDescent="0.45">
      <c r="A90" s="110" t="s">
        <v>151</v>
      </c>
      <c r="B90" s="149" t="s">
        <v>209</v>
      </c>
      <c r="C90" s="400">
        <v>5600</v>
      </c>
      <c r="D90" s="424">
        <v>5</v>
      </c>
      <c r="E90" s="419">
        <f>C90*D90</f>
        <v>28000</v>
      </c>
      <c r="F90" s="424">
        <f>D90*12</f>
        <v>60</v>
      </c>
      <c r="G90" s="444">
        <f>F90*C90</f>
        <v>336000</v>
      </c>
      <c r="H90" s="446"/>
      <c r="I90" s="446"/>
      <c r="J90" s="148"/>
    </row>
    <row r="91" spans="1:10" x14ac:dyDescent="0.45">
      <c r="A91" s="83" t="s">
        <v>152</v>
      </c>
      <c r="B91" s="150" t="s">
        <v>210</v>
      </c>
      <c r="C91" s="400"/>
      <c r="D91" s="425"/>
      <c r="E91" s="425"/>
      <c r="F91" s="425"/>
      <c r="G91" s="445"/>
      <c r="H91" s="446"/>
      <c r="I91" s="446"/>
      <c r="J91" s="151"/>
    </row>
    <row r="92" spans="1:10" x14ac:dyDescent="0.45">
      <c r="A92" s="110" t="s">
        <v>151</v>
      </c>
      <c r="B92" s="149" t="s">
        <v>209</v>
      </c>
      <c r="C92" s="401">
        <v>8176</v>
      </c>
      <c r="D92" s="424">
        <v>5</v>
      </c>
      <c r="E92" s="419">
        <f>C92*D92</f>
        <v>40880</v>
      </c>
      <c r="F92" s="424">
        <f>D92*12</f>
        <v>60</v>
      </c>
      <c r="G92" s="444">
        <f>F92*C92</f>
        <v>490560</v>
      </c>
      <c r="H92" s="446"/>
      <c r="I92" s="446"/>
      <c r="J92" s="148"/>
    </row>
    <row r="93" spans="1:10" x14ac:dyDescent="0.45">
      <c r="A93" s="83" t="s">
        <v>153</v>
      </c>
      <c r="B93" s="150" t="s">
        <v>211</v>
      </c>
      <c r="C93" s="401"/>
      <c r="D93" s="425"/>
      <c r="E93" s="425"/>
      <c r="F93" s="425"/>
      <c r="G93" s="445"/>
      <c r="H93" s="446"/>
      <c r="I93" s="446"/>
      <c r="J93" s="151"/>
    </row>
    <row r="94" spans="1:10" x14ac:dyDescent="0.45">
      <c r="A94" s="117"/>
      <c r="B94" s="10" t="s">
        <v>23</v>
      </c>
      <c r="C94" s="119">
        <f>SUM(C89:C93)</f>
        <v>16800</v>
      </c>
      <c r="D94" s="152">
        <f>SUM(D89:D93)</f>
        <v>15</v>
      </c>
      <c r="E94" s="118">
        <f>SUM(E89:E93)</f>
        <v>84000</v>
      </c>
      <c r="F94" s="30">
        <f>SUM(F89:F93)</f>
        <v>180</v>
      </c>
      <c r="G94" s="153">
        <f>SUM(G89:G93)</f>
        <v>1008000</v>
      </c>
      <c r="H94" s="154"/>
      <c r="I94" s="154"/>
      <c r="J94" s="155"/>
    </row>
    <row r="95" spans="1:10" x14ac:dyDescent="0.45">
      <c r="A95" s="117"/>
      <c r="B95" s="117"/>
      <c r="C95" s="156"/>
      <c r="D95" s="154"/>
      <c r="E95" s="117"/>
      <c r="F95" s="154"/>
      <c r="G95" s="117"/>
      <c r="H95" s="154"/>
    </row>
    <row r="96" spans="1:10" ht="28.5" x14ac:dyDescent="0.45">
      <c r="A96" s="46"/>
      <c r="B96" s="47" t="s">
        <v>1</v>
      </c>
      <c r="C96" s="87" t="s">
        <v>175</v>
      </c>
      <c r="D96" s="140" t="s">
        <v>191</v>
      </c>
      <c r="E96" s="141" t="s">
        <v>192</v>
      </c>
      <c r="F96" s="141" t="s">
        <v>193</v>
      </c>
      <c r="G96" s="142" t="s">
        <v>194</v>
      </c>
      <c r="H96" s="143"/>
      <c r="I96" s="143"/>
      <c r="J96" s="144"/>
    </row>
    <row r="97" spans="1:10" x14ac:dyDescent="0.45">
      <c r="A97" s="117"/>
      <c r="B97" s="10"/>
      <c r="C97" s="157"/>
      <c r="D97" s="158"/>
      <c r="E97" s="159"/>
      <c r="F97" s="160"/>
      <c r="G97" s="161"/>
      <c r="H97" s="154"/>
      <c r="I97" s="154"/>
      <c r="J97" s="155"/>
    </row>
    <row r="98" spans="1:10" x14ac:dyDescent="0.45">
      <c r="A98" s="75"/>
      <c r="B98" s="80" t="s">
        <v>197</v>
      </c>
      <c r="C98" s="145">
        <v>1000</v>
      </c>
      <c r="D98" s="162">
        <v>10</v>
      </c>
      <c r="E98" s="163">
        <f>C98*D98</f>
        <v>10000</v>
      </c>
      <c r="F98" s="162">
        <f>D98*12</f>
        <v>120</v>
      </c>
      <c r="G98" s="164">
        <f>F98*C98</f>
        <v>120000</v>
      </c>
      <c r="H98" s="147"/>
      <c r="I98" s="147"/>
      <c r="J98" s="148"/>
    </row>
    <row r="99" spans="1:10" x14ac:dyDescent="0.45">
      <c r="A99" s="117"/>
      <c r="B99" s="117"/>
      <c r="C99" s="156"/>
      <c r="D99" s="154"/>
      <c r="E99" s="117"/>
      <c r="F99" s="154"/>
      <c r="G99" s="117"/>
      <c r="H99" s="154"/>
      <c r="J99" s="165"/>
    </row>
    <row r="100" spans="1:10" x14ac:dyDescent="0.45">
      <c r="A100" s="117"/>
      <c r="B100" s="166" t="s">
        <v>198</v>
      </c>
      <c r="C100" s="156"/>
      <c r="D100" s="154"/>
      <c r="E100" s="117"/>
      <c r="F100" s="154"/>
      <c r="G100" s="117"/>
      <c r="H100" s="154"/>
    </row>
    <row r="101" spans="1:10" x14ac:dyDescent="0.45">
      <c r="A101" s="117"/>
      <c r="B101" s="117"/>
      <c r="C101" s="156"/>
      <c r="D101" s="154"/>
      <c r="E101" s="117"/>
      <c r="F101" s="154"/>
      <c r="G101" s="117"/>
      <c r="H101" s="154"/>
    </row>
    <row r="102" spans="1:10" x14ac:dyDescent="0.45">
      <c r="A102" s="372" t="s">
        <v>173</v>
      </c>
      <c r="B102" s="372"/>
      <c r="C102" s="372"/>
      <c r="D102" s="372"/>
      <c r="E102" s="372"/>
      <c r="F102" s="372"/>
      <c r="G102" s="372"/>
      <c r="H102" s="372"/>
    </row>
    <row r="103" spans="1:10" x14ac:dyDescent="0.45">
      <c r="A103" s="373"/>
      <c r="B103" s="373"/>
      <c r="C103" s="373"/>
      <c r="D103" s="373"/>
      <c r="E103" s="373"/>
      <c r="F103" s="373"/>
      <c r="G103" s="373"/>
      <c r="H103" s="372"/>
    </row>
    <row r="104" spans="1:10" ht="28.5" x14ac:dyDescent="0.45">
      <c r="A104" s="69" t="s">
        <v>0</v>
      </c>
      <c r="B104" s="47" t="s">
        <v>1</v>
      </c>
      <c r="C104" s="87" t="s">
        <v>175</v>
      </c>
      <c r="D104" s="140" t="s">
        <v>191</v>
      </c>
      <c r="E104" s="141" t="s">
        <v>192</v>
      </c>
      <c r="F104" s="141" t="s">
        <v>193</v>
      </c>
      <c r="G104" s="142" t="s">
        <v>194</v>
      </c>
      <c r="H104" s="143"/>
      <c r="I104" s="143"/>
      <c r="J104" s="144"/>
    </row>
    <row r="105" spans="1:10" x14ac:dyDescent="0.45">
      <c r="A105" s="80"/>
      <c r="B105" s="80" t="s">
        <v>129</v>
      </c>
      <c r="C105" s="167">
        <v>180</v>
      </c>
      <c r="D105" s="168">
        <v>30</v>
      </c>
      <c r="E105" s="169">
        <f>D105*C105</f>
        <v>5400</v>
      </c>
      <c r="F105" s="80">
        <f>D105*12</f>
        <v>360</v>
      </c>
      <c r="G105" s="170">
        <f>F105*C105</f>
        <v>64800</v>
      </c>
      <c r="H105" s="171"/>
      <c r="I105" s="171"/>
      <c r="J105" s="148"/>
    </row>
    <row r="106" spans="1:10" x14ac:dyDescent="0.45">
      <c r="A106" s="117"/>
      <c r="B106" s="10" t="s">
        <v>23</v>
      </c>
      <c r="C106" s="172">
        <f>C105</f>
        <v>180</v>
      </c>
      <c r="D106" s="10">
        <f>D105</f>
        <v>30</v>
      </c>
      <c r="E106" s="173">
        <f>E105</f>
        <v>5400</v>
      </c>
      <c r="F106" s="10">
        <f>F105</f>
        <v>360</v>
      </c>
      <c r="G106" s="174">
        <f>G105</f>
        <v>64800</v>
      </c>
      <c r="H106" s="156"/>
      <c r="I106" s="156"/>
      <c r="J106" s="175"/>
    </row>
    <row r="107" spans="1:10" x14ac:dyDescent="0.45">
      <c r="A107" s="86"/>
      <c r="B107" s="176"/>
      <c r="C107" s="176"/>
      <c r="D107" s="86"/>
      <c r="E107" s="176"/>
      <c r="F107" s="46"/>
      <c r="G107" s="86"/>
      <c r="H107" s="85"/>
      <c r="I107" s="177"/>
    </row>
    <row r="108" spans="1:10" hidden="1" x14ac:dyDescent="0.45">
      <c r="A108" s="86"/>
      <c r="B108" s="86"/>
      <c r="C108" s="86"/>
      <c r="D108" s="86"/>
      <c r="E108" s="86"/>
      <c r="F108" s="86"/>
      <c r="G108" s="86"/>
    </row>
    <row r="109" spans="1:10" hidden="1" x14ac:dyDescent="0.45">
      <c r="A109" s="416" t="s">
        <v>155</v>
      </c>
      <c r="B109" s="417"/>
      <c r="C109" s="417"/>
      <c r="D109" s="417"/>
      <c r="E109" s="417"/>
      <c r="F109" s="417"/>
      <c r="G109" s="418"/>
    </row>
    <row r="110" spans="1:10" hidden="1" x14ac:dyDescent="0.45">
      <c r="A110" s="178" t="s">
        <v>0</v>
      </c>
      <c r="B110" s="178" t="s">
        <v>1</v>
      </c>
      <c r="C110" s="179" t="s">
        <v>139</v>
      </c>
      <c r="D110" s="178" t="s">
        <v>107</v>
      </c>
      <c r="E110" s="179" t="s">
        <v>108</v>
      </c>
      <c r="F110" s="178" t="s">
        <v>109</v>
      </c>
      <c r="G110" s="179" t="s">
        <v>110</v>
      </c>
    </row>
    <row r="111" spans="1:10" hidden="1" x14ac:dyDescent="0.45">
      <c r="A111" s="78" t="s">
        <v>111</v>
      </c>
      <c r="B111" s="180" t="s">
        <v>114</v>
      </c>
      <c r="C111" s="181">
        <v>240.97</v>
      </c>
      <c r="D111" s="78">
        <v>812</v>
      </c>
      <c r="E111" s="181">
        <f>D111*C111</f>
        <v>195667.63999999998</v>
      </c>
      <c r="F111" s="78">
        <f>D111*12</f>
        <v>9744</v>
      </c>
      <c r="G111" s="182">
        <f>F111*C111</f>
        <v>2348011.6800000002</v>
      </c>
    </row>
    <row r="112" spans="1:10" hidden="1" x14ac:dyDescent="0.45">
      <c r="A112" s="183" t="s">
        <v>112</v>
      </c>
      <c r="B112" s="184" t="s">
        <v>115</v>
      </c>
      <c r="C112" s="185">
        <v>240.97</v>
      </c>
      <c r="D112" s="183">
        <v>66</v>
      </c>
      <c r="E112" s="181">
        <f t="shared" ref="E112:E115" si="19">D112*C112</f>
        <v>15904.02</v>
      </c>
      <c r="F112" s="78">
        <f t="shared" ref="F112:F115" si="20">D112*12</f>
        <v>792</v>
      </c>
      <c r="G112" s="182">
        <f t="shared" ref="G112:G115" si="21">F112*C112</f>
        <v>190848.24</v>
      </c>
    </row>
    <row r="113" spans="1:8" ht="30.6" hidden="1" customHeight="1" x14ac:dyDescent="0.45">
      <c r="A113" s="78" t="s">
        <v>113</v>
      </c>
      <c r="B113" s="186" t="s">
        <v>116</v>
      </c>
      <c r="C113" s="181">
        <v>325.98</v>
      </c>
      <c r="D113" s="78">
        <v>78</v>
      </c>
      <c r="E113" s="181">
        <f t="shared" si="19"/>
        <v>25426.440000000002</v>
      </c>
      <c r="F113" s="78">
        <f t="shared" si="20"/>
        <v>936</v>
      </c>
      <c r="G113" s="182">
        <f t="shared" si="21"/>
        <v>305117.28000000003</v>
      </c>
    </row>
    <row r="114" spans="1:8" hidden="1" x14ac:dyDescent="0.45">
      <c r="A114" s="183" t="s">
        <v>117</v>
      </c>
      <c r="B114" s="184" t="s">
        <v>118</v>
      </c>
      <c r="C114" s="185">
        <v>325.98</v>
      </c>
      <c r="D114" s="183">
        <v>5</v>
      </c>
      <c r="E114" s="181">
        <f t="shared" si="19"/>
        <v>1629.9</v>
      </c>
      <c r="F114" s="78">
        <f t="shared" si="20"/>
        <v>60</v>
      </c>
      <c r="G114" s="182">
        <f t="shared" si="21"/>
        <v>19558.800000000003</v>
      </c>
    </row>
    <row r="115" spans="1:8" ht="14.65" hidden="1" thickBot="1" x14ac:dyDescent="0.5">
      <c r="A115" s="78" t="s">
        <v>119</v>
      </c>
      <c r="B115" s="187" t="s">
        <v>120</v>
      </c>
      <c r="C115" s="188">
        <v>694.4</v>
      </c>
      <c r="D115" s="189">
        <v>6</v>
      </c>
      <c r="E115" s="188">
        <f t="shared" si="19"/>
        <v>4166.3999999999996</v>
      </c>
      <c r="F115" s="189">
        <f t="shared" si="20"/>
        <v>72</v>
      </c>
      <c r="G115" s="190">
        <f t="shared" si="21"/>
        <v>49996.799999999996</v>
      </c>
    </row>
    <row r="116" spans="1:8" ht="14.65" hidden="1" thickBot="1" x14ac:dyDescent="0.5">
      <c r="A116" s="191"/>
      <c r="B116" s="192" t="s">
        <v>106</v>
      </c>
      <c r="C116" s="193">
        <f>SUM(C111:C115)</f>
        <v>1828.3000000000002</v>
      </c>
      <c r="D116" s="194">
        <f>SUM(D111:D115)</f>
        <v>967</v>
      </c>
      <c r="E116" s="195">
        <f t="shared" ref="E116:G116" si="22">SUM(E111:E115)</f>
        <v>242794.39999999997</v>
      </c>
      <c r="F116" s="194">
        <f t="shared" si="22"/>
        <v>11604</v>
      </c>
      <c r="G116" s="196">
        <f t="shared" si="22"/>
        <v>2913532.8</v>
      </c>
    </row>
    <row r="117" spans="1:8" hidden="1" x14ac:dyDescent="0.45">
      <c r="A117" s="191"/>
      <c r="B117" s="415"/>
      <c r="C117" s="415"/>
      <c r="D117" s="415"/>
      <c r="E117" s="415"/>
      <c r="F117" s="415"/>
      <c r="G117" s="415"/>
    </row>
    <row r="118" spans="1:8" hidden="1" x14ac:dyDescent="0.45">
      <c r="A118" s="183"/>
      <c r="B118" s="416" t="s">
        <v>121</v>
      </c>
      <c r="C118" s="417"/>
      <c r="D118" s="417"/>
      <c r="E118" s="417"/>
      <c r="F118" s="417"/>
      <c r="G118" s="418"/>
    </row>
    <row r="119" spans="1:8" hidden="1" x14ac:dyDescent="0.45">
      <c r="A119" s="197" t="s">
        <v>0</v>
      </c>
      <c r="B119" s="197" t="s">
        <v>1</v>
      </c>
      <c r="C119" s="198" t="s">
        <v>2</v>
      </c>
      <c r="D119" s="197" t="s">
        <v>107</v>
      </c>
      <c r="E119" s="198" t="s">
        <v>108</v>
      </c>
      <c r="F119" s="197" t="s">
        <v>109</v>
      </c>
      <c r="G119" s="199" t="s">
        <v>123</v>
      </c>
    </row>
    <row r="120" spans="1:8" ht="14.65" hidden="1" thickBot="1" x14ac:dyDescent="0.5">
      <c r="A120" s="183" t="s">
        <v>122</v>
      </c>
      <c r="B120" s="189" t="s">
        <v>124</v>
      </c>
      <c r="C120" s="200">
        <v>240.3</v>
      </c>
      <c r="D120" s="189">
        <v>13</v>
      </c>
      <c r="E120" s="200">
        <f>D120*C120</f>
        <v>3123.9</v>
      </c>
      <c r="F120" s="201">
        <f>D120*12</f>
        <v>156</v>
      </c>
      <c r="G120" s="200">
        <f>F120*C120</f>
        <v>37486.800000000003</v>
      </c>
    </row>
    <row r="121" spans="1:8" ht="14.65" hidden="1" thickBot="1" x14ac:dyDescent="0.5">
      <c r="A121" s="202"/>
      <c r="B121" s="421" t="s">
        <v>125</v>
      </c>
      <c r="C121" s="422"/>
      <c r="D121" s="423"/>
      <c r="E121" s="203">
        <f>E116+E120</f>
        <v>245918.29999999996</v>
      </c>
      <c r="F121" s="204"/>
      <c r="G121" s="205">
        <f>G116+G120</f>
        <v>2951019.5999999996</v>
      </c>
      <c r="H121" s="165"/>
    </row>
    <row r="122" spans="1:8" x14ac:dyDescent="0.45">
      <c r="A122" s="202"/>
      <c r="B122" s="206"/>
      <c r="C122" s="206"/>
      <c r="D122" s="206"/>
      <c r="E122" s="207"/>
      <c r="F122" s="202"/>
      <c r="G122" s="207"/>
    </row>
    <row r="123" spans="1:8" x14ac:dyDescent="0.45">
      <c r="A123" s="202"/>
      <c r="B123" s="206"/>
      <c r="C123" s="206"/>
      <c r="D123" s="206"/>
      <c r="E123" s="207"/>
      <c r="F123" s="202"/>
      <c r="G123" s="207"/>
    </row>
    <row r="124" spans="1:8" x14ac:dyDescent="0.45">
      <c r="A124" s="202"/>
      <c r="B124" s="206"/>
      <c r="C124" s="206"/>
      <c r="D124" s="206"/>
      <c r="E124" s="207"/>
      <c r="F124" s="202"/>
      <c r="G124" s="207"/>
    </row>
    <row r="125" spans="1:8" x14ac:dyDescent="0.45">
      <c r="A125" s="202"/>
      <c r="B125" s="206"/>
      <c r="C125" s="206"/>
      <c r="D125" s="206"/>
      <c r="E125" s="207"/>
      <c r="F125" s="202"/>
      <c r="G125" s="207"/>
    </row>
    <row r="126" spans="1:8" x14ac:dyDescent="0.45">
      <c r="A126" s="202"/>
      <c r="B126" s="206"/>
      <c r="C126" s="206"/>
      <c r="D126" s="206"/>
      <c r="E126" s="207"/>
      <c r="F126" s="202"/>
      <c r="G126" s="207"/>
    </row>
    <row r="127" spans="1:8" x14ac:dyDescent="0.45">
      <c r="B127" s="208"/>
      <c r="C127" s="208"/>
      <c r="D127" s="208"/>
      <c r="E127" s="208"/>
      <c r="F127" s="208"/>
      <c r="G127" s="208"/>
    </row>
    <row r="128" spans="1:8" x14ac:dyDescent="0.45">
      <c r="A128" s="209"/>
      <c r="B128" s="209"/>
      <c r="C128" s="209"/>
      <c r="D128" s="209"/>
      <c r="E128" s="209"/>
      <c r="F128" s="209"/>
      <c r="G128" s="209"/>
    </row>
    <row r="130" spans="1:4" ht="14.65" hidden="1" thickBot="1" x14ac:dyDescent="0.5">
      <c r="A130" s="432" t="s">
        <v>154</v>
      </c>
      <c r="B130" s="433"/>
      <c r="C130" s="433"/>
      <c r="D130" s="434"/>
    </row>
    <row r="131" spans="1:4" ht="14.65" hidden="1" thickBot="1" x14ac:dyDescent="0.5">
      <c r="A131" s="430" t="s">
        <v>88</v>
      </c>
      <c r="B131" s="431"/>
      <c r="C131" s="210" t="s">
        <v>89</v>
      </c>
      <c r="D131" s="211" t="s">
        <v>90</v>
      </c>
    </row>
    <row r="132" spans="1:4" hidden="1" x14ac:dyDescent="0.45">
      <c r="A132" s="412" t="s">
        <v>91</v>
      </c>
      <c r="B132" s="412"/>
      <c r="C132" s="212">
        <v>226740.51</v>
      </c>
      <c r="D132" s="212">
        <f>C132*12</f>
        <v>2720886.12</v>
      </c>
    </row>
    <row r="133" spans="1:4" hidden="1" x14ac:dyDescent="0.45">
      <c r="A133" s="402" t="s">
        <v>126</v>
      </c>
      <c r="B133" s="403"/>
      <c r="C133" s="213">
        <v>7756.25</v>
      </c>
      <c r="D133" s="213">
        <f t="shared" ref="D133:D137" si="23">C133*12</f>
        <v>93075</v>
      </c>
    </row>
    <row r="134" spans="1:4" hidden="1" x14ac:dyDescent="0.45">
      <c r="A134" s="402" t="s">
        <v>127</v>
      </c>
      <c r="B134" s="403"/>
      <c r="C134" s="213">
        <v>5170.83</v>
      </c>
      <c r="D134" s="213">
        <f t="shared" si="23"/>
        <v>62049.96</v>
      </c>
    </row>
    <row r="135" spans="1:4" hidden="1" x14ac:dyDescent="0.45">
      <c r="A135" s="413" t="s">
        <v>92</v>
      </c>
      <c r="B135" s="413"/>
      <c r="C135" s="214">
        <v>10397.620000000001</v>
      </c>
      <c r="D135" s="212">
        <f t="shared" si="23"/>
        <v>124771.44</v>
      </c>
    </row>
    <row r="136" spans="1:4" hidden="1" x14ac:dyDescent="0.45">
      <c r="A136" s="402" t="s">
        <v>128</v>
      </c>
      <c r="B136" s="403"/>
      <c r="C136" s="215">
        <v>89196.87</v>
      </c>
      <c r="D136" s="213">
        <f t="shared" si="23"/>
        <v>1070362.44</v>
      </c>
    </row>
    <row r="137" spans="1:4" ht="39" hidden="1" customHeight="1" thickBot="1" x14ac:dyDescent="0.5">
      <c r="A137" s="414" t="s">
        <v>212</v>
      </c>
      <c r="B137" s="414"/>
      <c r="C137" s="215">
        <v>56101.1</v>
      </c>
      <c r="D137" s="213">
        <f t="shared" si="23"/>
        <v>673213.2</v>
      </c>
    </row>
    <row r="138" spans="1:4" ht="14.65" hidden="1" thickBot="1" x14ac:dyDescent="0.5">
      <c r="A138" s="394" t="s">
        <v>106</v>
      </c>
      <c r="B138" s="395"/>
      <c r="C138" s="216">
        <f>SUM(C132:C137)</f>
        <v>395363.17999999993</v>
      </c>
      <c r="D138" s="217">
        <f>SUM(D132:D137)</f>
        <v>4744358.16</v>
      </c>
    </row>
    <row r="139" spans="1:4" x14ac:dyDescent="0.45">
      <c r="A139" s="391"/>
      <c r="B139" s="391"/>
      <c r="C139" s="391"/>
      <c r="D139" s="391"/>
    </row>
    <row r="140" spans="1:4" hidden="1" x14ac:dyDescent="0.45">
      <c r="A140" s="408" t="s">
        <v>94</v>
      </c>
      <c r="B140" s="408"/>
      <c r="C140" s="218" t="s">
        <v>89</v>
      </c>
      <c r="D140" s="218" t="s">
        <v>90</v>
      </c>
    </row>
    <row r="141" spans="1:4" hidden="1" x14ac:dyDescent="0.45">
      <c r="A141" s="398" t="s">
        <v>95</v>
      </c>
      <c r="B141" s="399"/>
      <c r="C141" s="219">
        <v>76587.7</v>
      </c>
      <c r="D141" s="219">
        <f>C141*12</f>
        <v>919052.39999999991</v>
      </c>
    </row>
    <row r="142" spans="1:4" ht="19.8" hidden="1" customHeight="1" x14ac:dyDescent="0.45">
      <c r="A142" s="436" t="s">
        <v>96</v>
      </c>
      <c r="B142" s="437"/>
      <c r="C142" s="220">
        <v>87966.44</v>
      </c>
      <c r="D142" s="220">
        <f t="shared" ref="D142:D149" si="24">C142*12</f>
        <v>1055597.28</v>
      </c>
    </row>
    <row r="143" spans="1:4" hidden="1" x14ac:dyDescent="0.45">
      <c r="A143" s="404" t="s">
        <v>97</v>
      </c>
      <c r="B143" s="405"/>
      <c r="C143" s="221">
        <v>76587.7</v>
      </c>
      <c r="D143" s="221">
        <f t="shared" si="24"/>
        <v>919052.39999999991</v>
      </c>
    </row>
    <row r="144" spans="1:4" hidden="1" x14ac:dyDescent="0.45">
      <c r="A144" s="402" t="s">
        <v>134</v>
      </c>
      <c r="B144" s="403"/>
      <c r="C144" s="220">
        <v>76587.7</v>
      </c>
      <c r="D144" s="220">
        <f>C144*12</f>
        <v>919052.39999999991</v>
      </c>
    </row>
    <row r="145" spans="1:8" hidden="1" x14ac:dyDescent="0.45">
      <c r="A145" s="388" t="s">
        <v>176</v>
      </c>
      <c r="B145" s="389"/>
      <c r="C145" s="220">
        <v>11488.16</v>
      </c>
      <c r="D145" s="220">
        <f>C145*12</f>
        <v>137857.91999999998</v>
      </c>
    </row>
    <row r="146" spans="1:8" hidden="1" x14ac:dyDescent="0.45">
      <c r="A146" s="388" t="s">
        <v>177</v>
      </c>
      <c r="B146" s="389"/>
      <c r="C146" s="220">
        <v>19529.86</v>
      </c>
      <c r="D146" s="220">
        <f>C146*12</f>
        <v>234358.32</v>
      </c>
    </row>
    <row r="147" spans="1:8" hidden="1" x14ac:dyDescent="0.45">
      <c r="A147" s="402" t="s">
        <v>135</v>
      </c>
      <c r="B147" s="403"/>
      <c r="C147" s="220">
        <v>76587.7</v>
      </c>
      <c r="D147" s="220">
        <f>C147*12</f>
        <v>919052.39999999991</v>
      </c>
    </row>
    <row r="148" spans="1:8" hidden="1" x14ac:dyDescent="0.45">
      <c r="A148" s="402" t="s">
        <v>98</v>
      </c>
      <c r="B148" s="403"/>
      <c r="C148" s="220">
        <v>100649</v>
      </c>
      <c r="D148" s="220">
        <f t="shared" si="24"/>
        <v>1207788</v>
      </c>
    </row>
    <row r="149" spans="1:8" ht="14.65" hidden="1" thickBot="1" x14ac:dyDescent="0.5">
      <c r="A149" s="411" t="s">
        <v>99</v>
      </c>
      <c r="B149" s="411"/>
      <c r="C149" s="220">
        <v>65646.600000000006</v>
      </c>
      <c r="D149" s="220">
        <f t="shared" si="24"/>
        <v>787759.20000000007</v>
      </c>
    </row>
    <row r="150" spans="1:8" ht="14.65" hidden="1" thickBot="1" x14ac:dyDescent="0.5">
      <c r="A150" s="394" t="s">
        <v>106</v>
      </c>
      <c r="B150" s="395"/>
      <c r="C150" s="223">
        <f>SUM(C141:C149)</f>
        <v>591630.86</v>
      </c>
      <c r="D150" s="224">
        <f>SUM(D141:D149)</f>
        <v>7099570.3199999994</v>
      </c>
    </row>
    <row r="151" spans="1:8" ht="26" customHeight="1" x14ac:dyDescent="0.45">
      <c r="A151" s="391"/>
      <c r="B151" s="391"/>
      <c r="C151" s="391"/>
      <c r="D151" s="391"/>
    </row>
    <row r="152" spans="1:8" x14ac:dyDescent="0.45">
      <c r="A152" s="396" t="s">
        <v>93</v>
      </c>
      <c r="B152" s="397"/>
      <c r="C152" s="225" t="s">
        <v>89</v>
      </c>
      <c r="D152" s="225" t="s">
        <v>90</v>
      </c>
    </row>
    <row r="153" spans="1:8" x14ac:dyDescent="0.45">
      <c r="A153" s="384" t="s">
        <v>213</v>
      </c>
      <c r="B153" s="385"/>
      <c r="C153" s="226">
        <f>SUM(E165:E169)</f>
        <v>242880</v>
      </c>
      <c r="D153" s="226">
        <f>C153*12</f>
        <v>2914560</v>
      </c>
      <c r="E153" s="165"/>
    </row>
    <row r="154" spans="1:8" x14ac:dyDescent="0.45">
      <c r="A154" s="381" t="s">
        <v>214</v>
      </c>
      <c r="B154" s="382"/>
      <c r="C154" s="227">
        <v>129190.59</v>
      </c>
      <c r="D154" s="226">
        <f t="shared" ref="D154:D161" si="25">C154*12</f>
        <v>1550287.08</v>
      </c>
    </row>
    <row r="155" spans="1:8" x14ac:dyDescent="0.45">
      <c r="A155" s="381" t="s">
        <v>215</v>
      </c>
      <c r="B155" s="382"/>
      <c r="C155" s="227">
        <v>16000</v>
      </c>
      <c r="D155" s="226">
        <f t="shared" si="25"/>
        <v>192000</v>
      </c>
      <c r="H155" s="148"/>
    </row>
    <row r="156" spans="1:8" x14ac:dyDescent="0.45">
      <c r="A156" s="383" t="s">
        <v>216</v>
      </c>
      <c r="B156" s="383"/>
      <c r="C156" s="227">
        <f>J86</f>
        <v>74344.06</v>
      </c>
      <c r="D156" s="226">
        <f>C156*12</f>
        <v>892128.72</v>
      </c>
    </row>
    <row r="157" spans="1:8" x14ac:dyDescent="0.45">
      <c r="A157" s="386" t="s">
        <v>217</v>
      </c>
      <c r="B157" s="387"/>
      <c r="C157" s="227">
        <v>1350</v>
      </c>
      <c r="D157" s="226">
        <f t="shared" si="25"/>
        <v>16200</v>
      </c>
    </row>
    <row r="158" spans="1:8" x14ac:dyDescent="0.45">
      <c r="A158" s="381" t="s">
        <v>218</v>
      </c>
      <c r="B158" s="382"/>
      <c r="C158" s="227">
        <v>6500</v>
      </c>
      <c r="D158" s="226">
        <f>C158*12</f>
        <v>78000</v>
      </c>
    </row>
    <row r="159" spans="1:8" x14ac:dyDescent="0.45">
      <c r="A159" s="381" t="s">
        <v>219</v>
      </c>
      <c r="B159" s="382"/>
      <c r="C159" s="227">
        <v>5400</v>
      </c>
      <c r="D159" s="226">
        <f t="shared" si="25"/>
        <v>64800</v>
      </c>
    </row>
    <row r="160" spans="1:8" x14ac:dyDescent="0.45">
      <c r="A160" s="381" t="s">
        <v>220</v>
      </c>
      <c r="B160" s="382"/>
      <c r="C160" s="227">
        <f>E94</f>
        <v>84000</v>
      </c>
      <c r="D160" s="226">
        <f t="shared" si="25"/>
        <v>1008000</v>
      </c>
    </row>
    <row r="161" spans="1:7" x14ac:dyDescent="0.45">
      <c r="A161" s="383" t="s">
        <v>221</v>
      </c>
      <c r="B161" s="383"/>
      <c r="C161" s="227">
        <v>19484.98</v>
      </c>
      <c r="D161" s="226">
        <f t="shared" si="25"/>
        <v>233819.76</v>
      </c>
    </row>
    <row r="162" spans="1:7" ht="14.65" thickBot="1" x14ac:dyDescent="0.5">
      <c r="A162" s="392" t="s">
        <v>106</v>
      </c>
      <c r="B162" s="393"/>
      <c r="C162" s="228">
        <f>SUM(C153:C161)</f>
        <v>579149.62999999989</v>
      </c>
      <c r="D162" s="229">
        <f>SUM(D153:D161)</f>
        <v>6949795.5599999996</v>
      </c>
    </row>
    <row r="163" spans="1:7" ht="23.45" customHeight="1" x14ac:dyDescent="0.45">
      <c r="A163" s="390" t="s">
        <v>100</v>
      </c>
      <c r="B163" s="390"/>
      <c r="C163" s="390"/>
      <c r="D163" s="390"/>
    </row>
    <row r="164" spans="1:7" x14ac:dyDescent="0.45">
      <c r="A164" s="230" t="s">
        <v>101</v>
      </c>
      <c r="B164" s="230" t="s">
        <v>186</v>
      </c>
      <c r="C164" s="230" t="s">
        <v>102</v>
      </c>
      <c r="D164" s="231" t="s">
        <v>103</v>
      </c>
      <c r="E164" s="231" t="s">
        <v>104</v>
      </c>
      <c r="F164" s="230" t="s">
        <v>105</v>
      </c>
    </row>
    <row r="165" spans="1:7" x14ac:dyDescent="0.45">
      <c r="A165" s="20" t="s">
        <v>199</v>
      </c>
      <c r="B165" s="52">
        <v>24</v>
      </c>
      <c r="C165" s="52">
        <f>B165*30.5</f>
        <v>732</v>
      </c>
      <c r="D165" s="52">
        <f>C165*12</f>
        <v>8784</v>
      </c>
      <c r="E165" s="232">
        <v>25920</v>
      </c>
      <c r="F165" s="233">
        <f t="shared" ref="F165:F169" si="26">E165*12</f>
        <v>311040</v>
      </c>
    </row>
    <row r="166" spans="1:7" x14ac:dyDescent="0.45">
      <c r="A166" s="20" t="s">
        <v>178</v>
      </c>
      <c r="B166" s="52">
        <v>24</v>
      </c>
      <c r="C166" s="52">
        <f t="shared" ref="C166:C169" si="27">B166*30.5</f>
        <v>732</v>
      </c>
      <c r="D166" s="52">
        <f t="shared" ref="D166:D169" si="28">C166*12</f>
        <v>8784</v>
      </c>
      <c r="E166" s="232">
        <v>108000</v>
      </c>
      <c r="F166" s="233">
        <f t="shared" si="26"/>
        <v>1296000</v>
      </c>
    </row>
    <row r="167" spans="1:7" x14ac:dyDescent="0.45">
      <c r="A167" s="20" t="s">
        <v>179</v>
      </c>
      <c r="B167" s="52">
        <v>24</v>
      </c>
      <c r="C167" s="52">
        <f t="shared" si="27"/>
        <v>732</v>
      </c>
      <c r="D167" s="52">
        <f t="shared" si="28"/>
        <v>8784</v>
      </c>
      <c r="E167" s="232">
        <v>18000</v>
      </c>
      <c r="F167" s="233">
        <f t="shared" si="26"/>
        <v>216000</v>
      </c>
    </row>
    <row r="168" spans="1:7" x14ac:dyDescent="0.45">
      <c r="A168" s="20" t="s">
        <v>180</v>
      </c>
      <c r="B168" s="52">
        <v>24</v>
      </c>
      <c r="C168" s="52">
        <f t="shared" si="27"/>
        <v>732</v>
      </c>
      <c r="D168" s="52">
        <f t="shared" si="28"/>
        <v>8784</v>
      </c>
      <c r="E168" s="232">
        <v>42000</v>
      </c>
      <c r="F168" s="233">
        <f t="shared" si="26"/>
        <v>504000</v>
      </c>
    </row>
    <row r="169" spans="1:7" x14ac:dyDescent="0.45">
      <c r="A169" s="20" t="s">
        <v>181</v>
      </c>
      <c r="B169" s="52">
        <v>24</v>
      </c>
      <c r="C169" s="52">
        <f t="shared" si="27"/>
        <v>732</v>
      </c>
      <c r="D169" s="52">
        <f t="shared" si="28"/>
        <v>8784</v>
      </c>
      <c r="E169" s="232">
        <v>48960</v>
      </c>
      <c r="F169" s="233">
        <f t="shared" si="26"/>
        <v>587520</v>
      </c>
    </row>
    <row r="170" spans="1:7" x14ac:dyDescent="0.45">
      <c r="A170" s="234" t="s">
        <v>106</v>
      </c>
      <c r="B170" s="230">
        <f>SUM(B165:B169)</f>
        <v>120</v>
      </c>
      <c r="C170" s="230">
        <f>SUM(C165:C169)</f>
        <v>3660</v>
      </c>
      <c r="D170" s="230">
        <f>SUM(D165:D169)</f>
        <v>43920</v>
      </c>
      <c r="E170" s="235">
        <f>SUM(E165:E169)</f>
        <v>242880</v>
      </c>
      <c r="F170" s="236">
        <f>SUM(F165:F169)</f>
        <v>2914560</v>
      </c>
      <c r="G170" s="165"/>
    </row>
    <row r="171" spans="1:7" x14ac:dyDescent="0.45">
      <c r="A171" s="237"/>
      <c r="B171" s="237"/>
      <c r="C171" s="238"/>
      <c r="D171" s="238"/>
    </row>
    <row r="172" spans="1:7" x14ac:dyDescent="0.45">
      <c r="A172" s="237"/>
      <c r="B172" s="237"/>
      <c r="C172" s="238"/>
      <c r="D172" s="238"/>
    </row>
    <row r="173" spans="1:7" x14ac:dyDescent="0.45">
      <c r="A173" s="237"/>
      <c r="B173" s="237"/>
      <c r="C173" s="238"/>
      <c r="D173" s="238"/>
    </row>
    <row r="174" spans="1:7" x14ac:dyDescent="0.45">
      <c r="A174" s="237"/>
      <c r="B174" s="237"/>
      <c r="C174" s="238"/>
      <c r="D174" s="238"/>
    </row>
    <row r="175" spans="1:7" x14ac:dyDescent="0.45">
      <c r="A175" s="237"/>
      <c r="B175" s="237"/>
      <c r="C175" s="238"/>
      <c r="D175" s="238"/>
    </row>
    <row r="176" spans="1:7" x14ac:dyDescent="0.45">
      <c r="A176" s="237"/>
      <c r="B176" s="237"/>
      <c r="C176" s="238"/>
      <c r="D176" s="238"/>
    </row>
    <row r="177" spans="1:7" x14ac:dyDescent="0.45">
      <c r="A177" s="237"/>
      <c r="B177" s="237"/>
      <c r="C177" s="238"/>
      <c r="D177" s="238"/>
    </row>
    <row r="178" spans="1:7" x14ac:dyDescent="0.45">
      <c r="A178" s="237"/>
      <c r="B178" s="237"/>
      <c r="C178" s="238"/>
      <c r="D178" s="238"/>
    </row>
    <row r="179" spans="1:7" x14ac:dyDescent="0.45">
      <c r="A179" s="237"/>
      <c r="B179" s="237"/>
      <c r="C179" s="239"/>
      <c r="D179" s="238"/>
    </row>
    <row r="180" spans="1:7" x14ac:dyDescent="0.45">
      <c r="A180" s="237"/>
      <c r="B180" s="237"/>
      <c r="C180" s="238"/>
      <c r="D180" s="238"/>
    </row>
    <row r="181" spans="1:7" x14ac:dyDescent="0.45">
      <c r="A181" s="237"/>
      <c r="B181" s="237"/>
      <c r="C181" s="238"/>
      <c r="D181" s="238"/>
    </row>
    <row r="182" spans="1:7" x14ac:dyDescent="0.45">
      <c r="A182" s="237"/>
      <c r="B182" s="237"/>
      <c r="C182" s="238"/>
      <c r="D182" s="238"/>
    </row>
    <row r="183" spans="1:7" x14ac:dyDescent="0.45">
      <c r="A183" s="237"/>
      <c r="B183" s="237"/>
      <c r="C183" s="238"/>
      <c r="D183" s="238"/>
    </row>
    <row r="184" spans="1:7" x14ac:dyDescent="0.45">
      <c r="A184" s="85"/>
      <c r="B184" s="85"/>
      <c r="C184" s="240"/>
      <c r="D184" s="240"/>
      <c r="E184" s="75"/>
      <c r="F184" s="75"/>
    </row>
    <row r="185" spans="1:7" x14ac:dyDescent="0.45">
      <c r="A185" s="85"/>
      <c r="B185" s="85"/>
      <c r="C185" s="240"/>
      <c r="D185" s="240"/>
      <c r="E185" s="75"/>
      <c r="F185" s="75"/>
    </row>
    <row r="186" spans="1:7" x14ac:dyDescent="0.45">
      <c r="A186" s="85"/>
      <c r="B186" s="85"/>
      <c r="C186" s="240"/>
      <c r="D186" s="240"/>
      <c r="E186" s="75"/>
      <c r="F186" s="75"/>
    </row>
    <row r="187" spans="1:7" x14ac:dyDescent="0.45">
      <c r="A187" s="85"/>
      <c r="B187" s="85"/>
      <c r="C187" s="240"/>
      <c r="D187" s="240"/>
      <c r="E187" s="75"/>
      <c r="F187" s="75"/>
    </row>
    <row r="188" spans="1:7" x14ac:dyDescent="0.45">
      <c r="A188" s="85"/>
      <c r="B188" s="85"/>
      <c r="C188" s="240"/>
      <c r="D188" s="240"/>
      <c r="E188" s="75"/>
      <c r="F188" s="75"/>
    </row>
    <row r="190" spans="1:7" x14ac:dyDescent="0.45">
      <c r="A190" s="209"/>
      <c r="B190" s="209"/>
      <c r="C190" s="209"/>
      <c r="D190" s="209"/>
      <c r="E190" s="209"/>
      <c r="F190" s="209"/>
      <c r="G190" s="209"/>
    </row>
    <row r="191" spans="1:7" x14ac:dyDescent="0.45">
      <c r="A191" s="372" t="s">
        <v>222</v>
      </c>
      <c r="B191" s="372"/>
      <c r="C191" s="372"/>
      <c r="D191" s="372"/>
      <c r="E191" s="372"/>
      <c r="F191" s="372"/>
      <c r="G191" s="372"/>
    </row>
    <row r="192" spans="1:7" x14ac:dyDescent="0.45">
      <c r="A192" s="372"/>
      <c r="B192" s="372"/>
      <c r="C192" s="372"/>
      <c r="D192" s="372"/>
      <c r="E192" s="372"/>
      <c r="F192" s="372"/>
      <c r="G192" s="372"/>
    </row>
    <row r="193" spans="1:7" ht="29.45" customHeight="1" x14ac:dyDescent="0.45">
      <c r="A193" s="47" t="s">
        <v>0</v>
      </c>
      <c r="B193" s="47" t="s">
        <v>1</v>
      </c>
      <c r="C193" s="241" t="s">
        <v>139</v>
      </c>
      <c r="D193" s="50" t="s">
        <v>3</v>
      </c>
      <c r="E193" s="51" t="s">
        <v>4</v>
      </c>
      <c r="F193" s="51" t="s">
        <v>5</v>
      </c>
      <c r="G193" s="50" t="s">
        <v>6</v>
      </c>
    </row>
    <row r="194" spans="1:7" x14ac:dyDescent="0.45">
      <c r="A194" s="52" t="s">
        <v>26</v>
      </c>
      <c r="B194" s="52" t="s">
        <v>71</v>
      </c>
      <c r="C194" s="71">
        <v>4.8</v>
      </c>
      <c r="D194" s="55">
        <v>1920</v>
      </c>
      <c r="E194" s="56">
        <f t="shared" ref="E194:E208" si="29">D194*C194</f>
        <v>9216</v>
      </c>
      <c r="F194" s="55">
        <f>D194*12</f>
        <v>23040</v>
      </c>
      <c r="G194" s="56">
        <f t="shared" ref="G194:G208" si="30">F194*C194</f>
        <v>110592</v>
      </c>
    </row>
    <row r="195" spans="1:7" x14ac:dyDescent="0.45">
      <c r="A195" s="57" t="s">
        <v>31</v>
      </c>
      <c r="B195" s="57" t="s">
        <v>32</v>
      </c>
      <c r="C195" s="242">
        <v>9</v>
      </c>
      <c r="D195" s="62">
        <v>550</v>
      </c>
      <c r="E195" s="61">
        <f t="shared" si="29"/>
        <v>4950</v>
      </c>
      <c r="F195" s="62">
        <f t="shared" ref="F195:F208" si="31">D195*12</f>
        <v>6600</v>
      </c>
      <c r="G195" s="61">
        <f t="shared" si="30"/>
        <v>59400</v>
      </c>
    </row>
    <row r="196" spans="1:7" x14ac:dyDescent="0.45">
      <c r="A196" s="52" t="s">
        <v>33</v>
      </c>
      <c r="B196" s="52" t="s">
        <v>72</v>
      </c>
      <c r="C196" s="71">
        <v>32.56</v>
      </c>
      <c r="D196" s="55">
        <v>5</v>
      </c>
      <c r="E196" s="56">
        <f t="shared" si="29"/>
        <v>162.80000000000001</v>
      </c>
      <c r="F196" s="55">
        <f t="shared" si="31"/>
        <v>60</v>
      </c>
      <c r="G196" s="56">
        <f t="shared" si="30"/>
        <v>1953.6000000000001</v>
      </c>
    </row>
    <row r="197" spans="1:7" x14ac:dyDescent="0.45">
      <c r="A197" s="57" t="s">
        <v>37</v>
      </c>
      <c r="B197" s="57" t="s">
        <v>38</v>
      </c>
      <c r="C197" s="242">
        <v>5.75</v>
      </c>
      <c r="D197" s="62">
        <v>420</v>
      </c>
      <c r="E197" s="243">
        <f t="shared" si="29"/>
        <v>2415</v>
      </c>
      <c r="F197" s="62">
        <f t="shared" si="31"/>
        <v>5040</v>
      </c>
      <c r="G197" s="61">
        <f t="shared" si="30"/>
        <v>28980</v>
      </c>
    </row>
    <row r="198" spans="1:7" x14ac:dyDescent="0.45">
      <c r="A198" s="52" t="s">
        <v>39</v>
      </c>
      <c r="B198" s="52" t="s">
        <v>40</v>
      </c>
      <c r="C198" s="71">
        <v>27.3</v>
      </c>
      <c r="D198" s="55">
        <v>25</v>
      </c>
      <c r="E198" s="56">
        <f t="shared" si="29"/>
        <v>682.5</v>
      </c>
      <c r="F198" s="55">
        <f t="shared" si="31"/>
        <v>300</v>
      </c>
      <c r="G198" s="56">
        <f t="shared" si="30"/>
        <v>8190</v>
      </c>
    </row>
    <row r="199" spans="1:7" x14ac:dyDescent="0.45">
      <c r="A199" s="57" t="s">
        <v>43</v>
      </c>
      <c r="B199" s="57" t="s">
        <v>44</v>
      </c>
      <c r="C199" s="242">
        <v>6.3</v>
      </c>
      <c r="D199" s="62">
        <v>3410</v>
      </c>
      <c r="E199" s="61">
        <f t="shared" si="29"/>
        <v>21483</v>
      </c>
      <c r="F199" s="62">
        <f t="shared" si="31"/>
        <v>40920</v>
      </c>
      <c r="G199" s="61">
        <f t="shared" si="30"/>
        <v>257796</v>
      </c>
    </row>
    <row r="200" spans="1:7" x14ac:dyDescent="0.45">
      <c r="A200" s="52" t="s">
        <v>73</v>
      </c>
      <c r="B200" s="52" t="s">
        <v>74</v>
      </c>
      <c r="C200" s="71">
        <v>12.47</v>
      </c>
      <c r="D200" s="55">
        <v>2500</v>
      </c>
      <c r="E200" s="56">
        <f t="shared" si="29"/>
        <v>31175</v>
      </c>
      <c r="F200" s="55">
        <f t="shared" si="31"/>
        <v>30000</v>
      </c>
      <c r="G200" s="56">
        <f t="shared" si="30"/>
        <v>374100</v>
      </c>
    </row>
    <row r="201" spans="1:7" x14ac:dyDescent="0.45">
      <c r="A201" s="57" t="s">
        <v>75</v>
      </c>
      <c r="B201" s="57" t="s">
        <v>76</v>
      </c>
      <c r="C201" s="242">
        <v>11</v>
      </c>
      <c r="D201" s="62">
        <v>3244</v>
      </c>
      <c r="E201" s="61">
        <f t="shared" si="29"/>
        <v>35684</v>
      </c>
      <c r="F201" s="62">
        <f t="shared" si="31"/>
        <v>38928</v>
      </c>
      <c r="G201" s="61">
        <f t="shared" si="30"/>
        <v>428208</v>
      </c>
    </row>
    <row r="202" spans="1:7" x14ac:dyDescent="0.45">
      <c r="A202" s="52" t="s">
        <v>50</v>
      </c>
      <c r="B202" s="52" t="s">
        <v>77</v>
      </c>
      <c r="C202" s="71">
        <v>13</v>
      </c>
      <c r="D202" s="55">
        <v>80</v>
      </c>
      <c r="E202" s="56">
        <f t="shared" si="29"/>
        <v>1040</v>
      </c>
      <c r="F202" s="55">
        <f t="shared" si="31"/>
        <v>960</v>
      </c>
      <c r="G202" s="56">
        <f t="shared" si="30"/>
        <v>12480</v>
      </c>
    </row>
    <row r="203" spans="1:7" x14ac:dyDescent="0.45">
      <c r="A203" s="57" t="s">
        <v>78</v>
      </c>
      <c r="B203" s="57" t="s">
        <v>53</v>
      </c>
      <c r="C203" s="242">
        <v>0.63</v>
      </c>
      <c r="D203" s="62">
        <v>1920</v>
      </c>
      <c r="E203" s="61">
        <f t="shared" si="29"/>
        <v>1209.5999999999999</v>
      </c>
      <c r="F203" s="62">
        <f t="shared" si="31"/>
        <v>23040</v>
      </c>
      <c r="G203" s="61">
        <f t="shared" si="30"/>
        <v>14515.2</v>
      </c>
    </row>
    <row r="204" spans="1:7" x14ac:dyDescent="0.45">
      <c r="A204" s="52" t="s">
        <v>54</v>
      </c>
      <c r="B204" s="52" t="s">
        <v>55</v>
      </c>
      <c r="C204" s="71">
        <v>17.04</v>
      </c>
      <c r="D204" s="55">
        <v>10</v>
      </c>
      <c r="E204" s="56">
        <f t="shared" si="29"/>
        <v>170.39999999999998</v>
      </c>
      <c r="F204" s="55">
        <f t="shared" si="31"/>
        <v>120</v>
      </c>
      <c r="G204" s="56">
        <f t="shared" si="30"/>
        <v>2044.8</v>
      </c>
    </row>
    <row r="205" spans="1:7" x14ac:dyDescent="0.45">
      <c r="A205" s="72" t="s">
        <v>56</v>
      </c>
      <c r="B205" s="72" t="s">
        <v>57</v>
      </c>
      <c r="C205" s="73">
        <v>32.4</v>
      </c>
      <c r="D205" s="62">
        <v>13</v>
      </c>
      <c r="E205" s="61">
        <f t="shared" si="29"/>
        <v>421.2</v>
      </c>
      <c r="F205" s="62">
        <f t="shared" si="31"/>
        <v>156</v>
      </c>
      <c r="G205" s="61">
        <f t="shared" si="30"/>
        <v>5054.3999999999996</v>
      </c>
    </row>
    <row r="206" spans="1:7" x14ac:dyDescent="0.45">
      <c r="A206" s="52" t="s">
        <v>41</v>
      </c>
      <c r="B206" s="52" t="s">
        <v>42</v>
      </c>
      <c r="C206" s="71">
        <v>23.16</v>
      </c>
      <c r="D206" s="55">
        <v>64</v>
      </c>
      <c r="E206" s="56">
        <f t="shared" si="29"/>
        <v>1482.24</v>
      </c>
      <c r="F206" s="55">
        <f t="shared" si="31"/>
        <v>768</v>
      </c>
      <c r="G206" s="56">
        <f t="shared" si="30"/>
        <v>17786.88</v>
      </c>
    </row>
    <row r="207" spans="1:7" x14ac:dyDescent="0.45">
      <c r="A207" s="72" t="s">
        <v>79</v>
      </c>
      <c r="B207" s="72" t="s">
        <v>80</v>
      </c>
      <c r="C207" s="244">
        <v>12.27</v>
      </c>
      <c r="D207" s="62">
        <v>1</v>
      </c>
      <c r="E207" s="61">
        <f t="shared" si="29"/>
        <v>12.27</v>
      </c>
      <c r="F207" s="62">
        <f t="shared" si="31"/>
        <v>12</v>
      </c>
      <c r="G207" s="61">
        <f t="shared" si="30"/>
        <v>147.24</v>
      </c>
    </row>
    <row r="208" spans="1:7" x14ac:dyDescent="0.45">
      <c r="A208" s="52" t="s">
        <v>81</v>
      </c>
      <c r="B208" s="52" t="s">
        <v>82</v>
      </c>
      <c r="C208" s="245">
        <v>54.97</v>
      </c>
      <c r="D208" s="55">
        <v>1</v>
      </c>
      <c r="E208" s="56">
        <f t="shared" si="29"/>
        <v>54.97</v>
      </c>
      <c r="F208" s="55">
        <f t="shared" si="31"/>
        <v>12</v>
      </c>
      <c r="G208" s="56">
        <f t="shared" si="30"/>
        <v>659.64</v>
      </c>
    </row>
    <row r="209" spans="1:9" x14ac:dyDescent="0.45">
      <c r="A209" s="246"/>
      <c r="B209" s="10" t="s">
        <v>23</v>
      </c>
      <c r="C209" s="247">
        <f>SUM(C194:C208)</f>
        <v>262.64999999999998</v>
      </c>
      <c r="D209" s="10">
        <f>SUM(D194:D208)</f>
        <v>14163</v>
      </c>
      <c r="E209" s="11">
        <f>SUM(E194:E208)</f>
        <v>110158.98000000001</v>
      </c>
      <c r="F209" s="10">
        <f>SUM(F194:F208)</f>
        <v>169956</v>
      </c>
      <c r="G209" s="11">
        <f>SUM(G194:G208)</f>
        <v>1321907.7599999998</v>
      </c>
    </row>
    <row r="210" spans="1:9" x14ac:dyDescent="0.45">
      <c r="A210" s="407" t="s">
        <v>156</v>
      </c>
      <c r="B210" s="407"/>
      <c r="C210" s="407"/>
      <c r="D210" s="407"/>
      <c r="E210" s="407"/>
      <c r="F210" s="407"/>
      <c r="G210" s="407"/>
    </row>
    <row r="211" spans="1:9" x14ac:dyDescent="0.45">
      <c r="A211" s="443"/>
      <c r="B211" s="443"/>
      <c r="C211" s="443"/>
      <c r="D211" s="443"/>
      <c r="E211" s="443"/>
      <c r="F211" s="443"/>
      <c r="G211" s="443"/>
    </row>
    <row r="212" spans="1:9" ht="26.45" customHeight="1" x14ac:dyDescent="0.45">
      <c r="A212" s="248" t="s">
        <v>0</v>
      </c>
      <c r="B212" s="47" t="s">
        <v>1</v>
      </c>
      <c r="C212" s="241" t="s">
        <v>139</v>
      </c>
      <c r="D212" s="50" t="s">
        <v>3</v>
      </c>
      <c r="E212" s="51" t="s">
        <v>4</v>
      </c>
      <c r="F212" s="51" t="s">
        <v>5</v>
      </c>
      <c r="G212" s="50" t="s">
        <v>6</v>
      </c>
      <c r="H212" s="143"/>
      <c r="I212" s="143"/>
    </row>
    <row r="213" spans="1:9" x14ac:dyDescent="0.45">
      <c r="A213" s="52" t="s">
        <v>58</v>
      </c>
      <c r="B213" s="52" t="s">
        <v>83</v>
      </c>
      <c r="C213" s="245">
        <v>120.11</v>
      </c>
      <c r="D213" s="55">
        <v>150</v>
      </c>
      <c r="E213" s="249">
        <f>D213*C213</f>
        <v>18016.5</v>
      </c>
      <c r="F213" s="55">
        <f>D213*12</f>
        <v>1800</v>
      </c>
      <c r="G213" s="250">
        <f>F213*C213</f>
        <v>216198</v>
      </c>
      <c r="H213" s="75"/>
      <c r="I213" s="251"/>
    </row>
    <row r="214" spans="1:9" x14ac:dyDescent="0.45">
      <c r="A214" s="72" t="s">
        <v>60</v>
      </c>
      <c r="B214" s="72" t="s">
        <v>84</v>
      </c>
      <c r="C214" s="73">
        <v>268.75</v>
      </c>
      <c r="D214" s="62">
        <v>2</v>
      </c>
      <c r="E214" s="252">
        <f t="shared" ref="E214" si="32">D214*C214</f>
        <v>537.5</v>
      </c>
      <c r="F214" s="62">
        <f>D214*12</f>
        <v>24</v>
      </c>
      <c r="G214" s="253">
        <f>F214*C214</f>
        <v>6450</v>
      </c>
      <c r="H214" s="75"/>
      <c r="I214" s="251"/>
    </row>
    <row r="215" spans="1:9" x14ac:dyDescent="0.45">
      <c r="A215" s="254"/>
      <c r="B215" s="10" t="s">
        <v>23</v>
      </c>
      <c r="C215" s="173">
        <f>SUM(C213:C214)</f>
        <v>388.86</v>
      </c>
      <c r="D215" s="255">
        <f>SUM(D213:D214)</f>
        <v>152</v>
      </c>
      <c r="E215" s="256">
        <f t="shared" ref="E215:G215" si="33">SUM(E213:E214)</f>
        <v>18554</v>
      </c>
      <c r="F215" s="255">
        <f t="shared" si="33"/>
        <v>1824</v>
      </c>
      <c r="G215" s="256">
        <f t="shared" si="33"/>
        <v>222648</v>
      </c>
      <c r="H215" s="117"/>
      <c r="I215" s="257"/>
    </row>
    <row r="218" spans="1:9" x14ac:dyDescent="0.45">
      <c r="D218" s="435"/>
      <c r="E218" s="435"/>
    </row>
    <row r="219" spans="1:9" ht="40.25" customHeight="1" x14ac:dyDescent="0.45">
      <c r="A219" s="438"/>
      <c r="D219" s="258"/>
    </row>
    <row r="220" spans="1:9" ht="29" customHeight="1" x14ac:dyDescent="0.45">
      <c r="A220" s="438"/>
    </row>
    <row r="221" spans="1:9" ht="14.65" thickBot="1" x14ac:dyDescent="0.5">
      <c r="D221" s="165"/>
      <c r="E221" s="165"/>
    </row>
    <row r="222" spans="1:9" ht="14.65" thickBot="1" x14ac:dyDescent="0.5">
      <c r="A222" s="432" t="s">
        <v>157</v>
      </c>
      <c r="B222" s="433"/>
      <c r="C222" s="433"/>
      <c r="D222" s="434"/>
    </row>
    <row r="223" spans="1:9" ht="14.65" thickBot="1" x14ac:dyDescent="0.5">
      <c r="A223" s="430" t="s">
        <v>88</v>
      </c>
      <c r="B223" s="431"/>
      <c r="C223" s="210" t="s">
        <v>89</v>
      </c>
      <c r="D223" s="211" t="s">
        <v>90</v>
      </c>
    </row>
    <row r="224" spans="1:9" ht="14.65" thickBot="1" x14ac:dyDescent="0.5">
      <c r="A224" s="402" t="s">
        <v>223</v>
      </c>
      <c r="B224" s="403"/>
      <c r="C224" s="259">
        <v>100000</v>
      </c>
      <c r="D224" s="260">
        <f>C224*12</f>
        <v>1200000</v>
      </c>
    </row>
    <row r="225" spans="1:6" ht="14.65" thickBot="1" x14ac:dyDescent="0.5">
      <c r="A225" s="394" t="s">
        <v>106</v>
      </c>
      <c r="B225" s="395"/>
      <c r="C225" s="261">
        <f>SUM(C224:C224)</f>
        <v>100000</v>
      </c>
      <c r="D225" s="262">
        <f>SUM(D224:D224)</f>
        <v>1200000</v>
      </c>
    </row>
    <row r="226" spans="1:6" x14ac:dyDescent="0.45">
      <c r="A226" s="391"/>
      <c r="B226" s="391"/>
      <c r="C226" s="391"/>
      <c r="D226" s="391"/>
    </row>
    <row r="227" spans="1:6" x14ac:dyDescent="0.45">
      <c r="A227" s="408" t="s">
        <v>94</v>
      </c>
      <c r="B227" s="408"/>
      <c r="C227" s="218" t="s">
        <v>89</v>
      </c>
      <c r="D227" s="218" t="s">
        <v>90</v>
      </c>
    </row>
    <row r="228" spans="1:6" ht="14.65" thickBot="1" x14ac:dyDescent="0.5">
      <c r="A228" s="441" t="s">
        <v>224</v>
      </c>
      <c r="B228" s="442"/>
      <c r="C228" s="222">
        <v>107222.78</v>
      </c>
      <c r="D228" s="220">
        <f t="shared" ref="D228" si="34">C228*12</f>
        <v>1286673.3599999999</v>
      </c>
      <c r="F228" s="237"/>
    </row>
    <row r="229" spans="1:6" ht="25.25" customHeight="1" thickBot="1" x14ac:dyDescent="0.5">
      <c r="A229" s="394" t="s">
        <v>106</v>
      </c>
      <c r="B229" s="395"/>
      <c r="C229" s="223">
        <f>SUM(C228:C228)</f>
        <v>107222.78</v>
      </c>
      <c r="D229" s="224">
        <f>SUM(D228:D228)</f>
        <v>1286673.3599999999</v>
      </c>
      <c r="F229" s="263"/>
    </row>
    <row r="230" spans="1:6" x14ac:dyDescent="0.45">
      <c r="A230" s="391"/>
      <c r="B230" s="391"/>
      <c r="C230" s="391"/>
      <c r="D230" s="391"/>
    </row>
    <row r="231" spans="1:6" x14ac:dyDescent="0.45">
      <c r="A231" s="408" t="s">
        <v>93</v>
      </c>
      <c r="B231" s="413"/>
      <c r="C231" s="218" t="s">
        <v>89</v>
      </c>
      <c r="D231" s="218" t="s">
        <v>90</v>
      </c>
    </row>
    <row r="232" spans="1:6" x14ac:dyDescent="0.45">
      <c r="A232" s="398" t="s">
        <v>225</v>
      </c>
      <c r="B232" s="399"/>
      <c r="C232" s="219">
        <f>SUM(E241:E248)</f>
        <v>324150</v>
      </c>
      <c r="D232" s="219">
        <f>C232*12</f>
        <v>3889800</v>
      </c>
      <c r="E232" s="165"/>
    </row>
    <row r="233" spans="1:6" x14ac:dyDescent="0.45">
      <c r="A233" s="439" t="s">
        <v>226</v>
      </c>
      <c r="B233" s="440"/>
      <c r="C233" s="264">
        <v>325758.02</v>
      </c>
      <c r="D233" s="219">
        <f t="shared" ref="D233:D236" si="35">C233*12</f>
        <v>3909096.24</v>
      </c>
    </row>
    <row r="234" spans="1:6" x14ac:dyDescent="0.45">
      <c r="A234" s="402" t="s">
        <v>227</v>
      </c>
      <c r="B234" s="403"/>
      <c r="C234" s="220">
        <v>5069.1099999999997</v>
      </c>
      <c r="D234" s="219">
        <f t="shared" si="35"/>
        <v>60829.319999999992</v>
      </c>
    </row>
    <row r="235" spans="1:6" x14ac:dyDescent="0.45">
      <c r="A235" s="402" t="s">
        <v>228</v>
      </c>
      <c r="B235" s="403"/>
      <c r="C235" s="220">
        <v>4301</v>
      </c>
      <c r="D235" s="219">
        <f t="shared" si="35"/>
        <v>51612</v>
      </c>
    </row>
    <row r="236" spans="1:6" x14ac:dyDescent="0.45">
      <c r="A236" s="388" t="s">
        <v>229</v>
      </c>
      <c r="B236" s="389"/>
      <c r="C236" s="220">
        <v>2850</v>
      </c>
      <c r="D236" s="219">
        <f t="shared" si="35"/>
        <v>34200</v>
      </c>
    </row>
    <row r="237" spans="1:6" ht="14.65" thickBot="1" x14ac:dyDescent="0.5">
      <c r="A237" s="392" t="s">
        <v>106</v>
      </c>
      <c r="B237" s="393"/>
      <c r="C237" s="265">
        <f>SUM(C232:C236)</f>
        <v>662128.13</v>
      </c>
      <c r="D237" s="266">
        <f>SUM(D232:D236)</f>
        <v>7945537.5600000005</v>
      </c>
    </row>
    <row r="238" spans="1:6" ht="14.65" thickBot="1" x14ac:dyDescent="0.5"/>
    <row r="239" spans="1:6" x14ac:dyDescent="0.45">
      <c r="A239" s="390" t="s">
        <v>195</v>
      </c>
      <c r="B239" s="390"/>
      <c r="C239" s="390"/>
      <c r="D239" s="390"/>
    </row>
    <row r="240" spans="1:6" x14ac:dyDescent="0.45">
      <c r="A240" s="230" t="s">
        <v>101</v>
      </c>
      <c r="B240" s="230" t="s">
        <v>131</v>
      </c>
      <c r="C240" s="230" t="s">
        <v>102</v>
      </c>
      <c r="D240" s="231" t="s">
        <v>103</v>
      </c>
      <c r="E240" s="231" t="s">
        <v>104</v>
      </c>
      <c r="F240" s="230" t="s">
        <v>105</v>
      </c>
    </row>
    <row r="241" spans="1:10" x14ac:dyDescent="0.45">
      <c r="A241" s="20" t="s">
        <v>204</v>
      </c>
      <c r="B241" s="52">
        <v>24</v>
      </c>
      <c r="C241" s="52">
        <f>B241*30.5</f>
        <v>732</v>
      </c>
      <c r="D241" s="267">
        <f t="shared" ref="D241:D248" si="36">C241*12</f>
        <v>8784</v>
      </c>
      <c r="E241" s="232">
        <v>91500</v>
      </c>
      <c r="F241" s="233">
        <f t="shared" ref="F241:F248" si="37">E241*12</f>
        <v>1098000</v>
      </c>
    </row>
    <row r="242" spans="1:10" x14ac:dyDescent="0.45">
      <c r="A242" s="20" t="s">
        <v>200</v>
      </c>
      <c r="B242" s="52">
        <v>24</v>
      </c>
      <c r="C242" s="52">
        <f t="shared" ref="C242:C248" si="38">B242*30.5</f>
        <v>732</v>
      </c>
      <c r="D242" s="267">
        <f t="shared" si="36"/>
        <v>8784</v>
      </c>
      <c r="E242" s="232">
        <v>91500</v>
      </c>
      <c r="F242" s="233">
        <f t="shared" si="37"/>
        <v>1098000</v>
      </c>
    </row>
    <row r="243" spans="1:10" x14ac:dyDescent="0.45">
      <c r="A243" s="20" t="s">
        <v>201</v>
      </c>
      <c r="B243" s="52">
        <v>4</v>
      </c>
      <c r="C243" s="52">
        <f t="shared" si="38"/>
        <v>122</v>
      </c>
      <c r="D243" s="267">
        <f t="shared" si="36"/>
        <v>1464</v>
      </c>
      <c r="E243" s="232">
        <v>15000</v>
      </c>
      <c r="F243" s="233">
        <f t="shared" si="37"/>
        <v>180000</v>
      </c>
    </row>
    <row r="244" spans="1:10" x14ac:dyDescent="0.45">
      <c r="A244" s="20" t="s">
        <v>206</v>
      </c>
      <c r="B244" s="52">
        <v>12</v>
      </c>
      <c r="C244" s="52">
        <f t="shared" si="38"/>
        <v>366</v>
      </c>
      <c r="D244" s="267">
        <f t="shared" si="36"/>
        <v>4392</v>
      </c>
      <c r="E244" s="232">
        <f>C244*125</f>
        <v>45750</v>
      </c>
      <c r="F244" s="233">
        <f t="shared" si="37"/>
        <v>549000</v>
      </c>
    </row>
    <row r="245" spans="1:10" x14ac:dyDescent="0.45">
      <c r="A245" s="20" t="s">
        <v>205</v>
      </c>
      <c r="B245" s="52">
        <v>12</v>
      </c>
      <c r="C245" s="52">
        <f t="shared" si="38"/>
        <v>366</v>
      </c>
      <c r="D245" s="267">
        <f t="shared" si="36"/>
        <v>4392</v>
      </c>
      <c r="E245" s="232">
        <f>C245*30</f>
        <v>10980</v>
      </c>
      <c r="F245" s="233">
        <f t="shared" si="37"/>
        <v>131760</v>
      </c>
    </row>
    <row r="246" spans="1:10" x14ac:dyDescent="0.45">
      <c r="A246" s="20" t="s">
        <v>207</v>
      </c>
      <c r="B246" s="52">
        <v>24</v>
      </c>
      <c r="C246" s="52">
        <f t="shared" si="38"/>
        <v>732</v>
      </c>
      <c r="D246" s="267">
        <f t="shared" si="36"/>
        <v>8784</v>
      </c>
      <c r="E246" s="232">
        <v>3500</v>
      </c>
      <c r="F246" s="233">
        <f t="shared" si="37"/>
        <v>42000</v>
      </c>
    </row>
    <row r="247" spans="1:10" x14ac:dyDescent="0.45">
      <c r="A247" s="20" t="s">
        <v>202</v>
      </c>
      <c r="B247" s="52">
        <v>24</v>
      </c>
      <c r="C247" s="52">
        <f t="shared" si="38"/>
        <v>732</v>
      </c>
      <c r="D247" s="267">
        <f t="shared" si="36"/>
        <v>8784</v>
      </c>
      <c r="E247" s="232">
        <v>25920</v>
      </c>
      <c r="F247" s="233">
        <f t="shared" si="37"/>
        <v>311040</v>
      </c>
    </row>
    <row r="248" spans="1:10" x14ac:dyDescent="0.45">
      <c r="A248" s="20" t="s">
        <v>203</v>
      </c>
      <c r="B248" s="52">
        <v>24</v>
      </c>
      <c r="C248" s="52">
        <f t="shared" si="38"/>
        <v>732</v>
      </c>
      <c r="D248" s="267">
        <f t="shared" si="36"/>
        <v>8784</v>
      </c>
      <c r="E248" s="232">
        <v>40000</v>
      </c>
      <c r="F248" s="233">
        <f t="shared" si="37"/>
        <v>480000</v>
      </c>
    </row>
    <row r="249" spans="1:10" x14ac:dyDescent="0.45">
      <c r="A249" s="234" t="s">
        <v>106</v>
      </c>
      <c r="B249" s="230">
        <f>SUM(B241:B248)</f>
        <v>148</v>
      </c>
      <c r="C249" s="230">
        <f>SUM(C241:C248)</f>
        <v>4514</v>
      </c>
      <c r="D249" s="230">
        <f>SUM(D241:D248)</f>
        <v>54168</v>
      </c>
      <c r="E249" s="268">
        <f>SUM(E241:E248)</f>
        <v>324150</v>
      </c>
      <c r="F249" s="269">
        <f>SUM(F241:F248)</f>
        <v>3889800</v>
      </c>
    </row>
    <row r="255" spans="1:10" ht="21" x14ac:dyDescent="0.65">
      <c r="A255" s="270"/>
      <c r="B255" s="270"/>
      <c r="C255" s="270"/>
      <c r="D255" s="270"/>
      <c r="E255" s="270"/>
      <c r="F255" s="270"/>
      <c r="G255" s="270"/>
      <c r="H255" s="270"/>
      <c r="I255" s="270"/>
      <c r="J255" s="270"/>
    </row>
    <row r="256" spans="1:10" ht="21" x14ac:dyDescent="0.65">
      <c r="A256" s="270"/>
      <c r="B256" s="270"/>
      <c r="C256" s="270"/>
      <c r="D256" s="270"/>
      <c r="E256" s="270"/>
      <c r="F256" s="270"/>
      <c r="G256" s="270"/>
      <c r="H256" s="270"/>
      <c r="I256" s="270"/>
      <c r="J256" s="270"/>
    </row>
    <row r="257" spans="1:10" ht="21" x14ac:dyDescent="0.65">
      <c r="A257" s="270"/>
      <c r="B257" s="270"/>
      <c r="C257" s="270"/>
      <c r="D257" s="270"/>
      <c r="E257" s="270"/>
      <c r="F257" s="270"/>
      <c r="G257" s="270"/>
      <c r="H257" s="270"/>
      <c r="I257" s="270"/>
      <c r="J257" s="270"/>
    </row>
    <row r="258" spans="1:10" ht="21" x14ac:dyDescent="0.65">
      <c r="A258" s="270"/>
      <c r="B258" s="270"/>
      <c r="C258" s="270"/>
      <c r="D258" s="270"/>
      <c r="E258" s="270"/>
      <c r="F258" s="270"/>
      <c r="G258" s="270"/>
      <c r="H258" s="270"/>
      <c r="I258" s="270"/>
      <c r="J258" s="270"/>
    </row>
    <row r="259" spans="1:10" ht="21" x14ac:dyDescent="0.65">
      <c r="A259" s="270"/>
      <c r="B259" s="270"/>
      <c r="C259" s="270"/>
      <c r="D259" s="270"/>
      <c r="E259" s="270"/>
      <c r="F259" s="270"/>
      <c r="G259" s="270"/>
      <c r="H259" s="270"/>
      <c r="I259" s="270"/>
      <c r="J259" s="270"/>
    </row>
    <row r="260" spans="1:10" ht="21" x14ac:dyDescent="0.65">
      <c r="A260" s="270"/>
      <c r="B260" s="270"/>
      <c r="C260" s="270"/>
      <c r="D260" s="270"/>
      <c r="E260" s="270"/>
      <c r="F260" s="270"/>
      <c r="G260" s="270"/>
      <c r="H260" s="270"/>
      <c r="I260" s="270"/>
      <c r="J260" s="270"/>
    </row>
    <row r="261" spans="1:10" ht="21" x14ac:dyDescent="0.65">
      <c r="A261" s="270"/>
      <c r="B261" s="270"/>
      <c r="C261" s="270"/>
      <c r="D261" s="270"/>
      <c r="E261" s="270"/>
      <c r="F261" s="270"/>
      <c r="G261" s="270"/>
      <c r="H261" s="270"/>
      <c r="I261" s="270"/>
      <c r="J261" s="270"/>
    </row>
    <row r="262" spans="1:10" ht="21" x14ac:dyDescent="0.65">
      <c r="A262" s="270"/>
      <c r="B262" s="270"/>
      <c r="C262" s="270"/>
      <c r="D262" s="270"/>
      <c r="E262" s="270"/>
      <c r="F262" s="270"/>
      <c r="G262" s="270"/>
      <c r="H262" s="270"/>
      <c r="I262" s="270"/>
      <c r="J262" s="270"/>
    </row>
    <row r="263" spans="1:10" ht="21" x14ac:dyDescent="0.65">
      <c r="A263" s="270"/>
      <c r="B263" s="270"/>
      <c r="C263" s="270"/>
      <c r="D263" s="270"/>
      <c r="E263" s="270"/>
      <c r="F263" s="270"/>
      <c r="G263" s="270"/>
      <c r="H263" s="270"/>
      <c r="I263" s="270"/>
      <c r="J263" s="270"/>
    </row>
    <row r="264" spans="1:10" ht="21" x14ac:dyDescent="0.65">
      <c r="A264" s="270"/>
      <c r="B264" s="270"/>
      <c r="C264" s="270"/>
      <c r="D264" s="270"/>
      <c r="E264" s="270"/>
      <c r="F264" s="270"/>
      <c r="G264" s="270"/>
      <c r="H264" s="270"/>
      <c r="I264" s="270"/>
      <c r="J264" s="270"/>
    </row>
    <row r="265" spans="1:10" ht="21" x14ac:dyDescent="0.65">
      <c r="A265" s="270"/>
      <c r="B265" s="270"/>
      <c r="C265" s="270"/>
      <c r="D265" s="270"/>
      <c r="E265" s="270"/>
      <c r="F265" s="270"/>
      <c r="G265" s="270"/>
      <c r="H265" s="270"/>
      <c r="I265" s="270"/>
      <c r="J265" s="270"/>
    </row>
    <row r="266" spans="1:10" ht="21" x14ac:dyDescent="0.65">
      <c r="A266" s="270"/>
      <c r="B266" s="270"/>
      <c r="C266" s="270"/>
      <c r="D266" s="270"/>
      <c r="E266" s="270"/>
      <c r="F266" s="270"/>
      <c r="G266" s="270"/>
      <c r="H266" s="270"/>
      <c r="I266" s="270"/>
      <c r="J266" s="270"/>
    </row>
    <row r="267" spans="1:10" ht="21" x14ac:dyDescent="0.65">
      <c r="A267" s="270"/>
      <c r="B267" s="270"/>
      <c r="C267" s="270"/>
      <c r="D267" s="270"/>
      <c r="E267" s="270"/>
      <c r="F267" s="270"/>
      <c r="G267" s="270"/>
      <c r="H267" s="270"/>
      <c r="I267" s="270"/>
      <c r="J267" s="270"/>
    </row>
    <row r="268" spans="1:10" x14ac:dyDescent="0.45">
      <c r="A268" s="45"/>
      <c r="B268" s="45"/>
      <c r="C268" s="45"/>
      <c r="D268" s="45"/>
      <c r="E268" s="45"/>
      <c r="F268" s="45"/>
      <c r="G268" s="45"/>
      <c r="H268" s="45"/>
      <c r="I268" s="45"/>
      <c r="J268" s="45"/>
    </row>
    <row r="322" spans="2:4" x14ac:dyDescent="0.45">
      <c r="B322" s="42"/>
    </row>
    <row r="323" spans="2:4" x14ac:dyDescent="0.45">
      <c r="B323" s="7"/>
    </row>
    <row r="324" spans="2:4" x14ac:dyDescent="0.45">
      <c r="B324" s="7"/>
    </row>
    <row r="325" spans="2:4" x14ac:dyDescent="0.45">
      <c r="B325" s="7"/>
    </row>
    <row r="326" spans="2:4" x14ac:dyDescent="0.45">
      <c r="B326" s="43"/>
    </row>
    <row r="327" spans="2:4" x14ac:dyDescent="0.45">
      <c r="B327" s="7"/>
    </row>
    <row r="328" spans="2:4" x14ac:dyDescent="0.45">
      <c r="B328" s="7"/>
    </row>
    <row r="329" spans="2:4" x14ac:dyDescent="0.45">
      <c r="B329" s="7"/>
    </row>
    <row r="330" spans="2:4" x14ac:dyDescent="0.45">
      <c r="B330" s="42"/>
      <c r="D330" s="20"/>
    </row>
    <row r="331" spans="2:4" x14ac:dyDescent="0.45">
      <c r="D331" s="20"/>
    </row>
    <row r="332" spans="2:4" x14ac:dyDescent="0.45">
      <c r="D332" s="20"/>
    </row>
    <row r="333" spans="2:4" x14ac:dyDescent="0.45">
      <c r="D333" s="20"/>
    </row>
    <row r="334" spans="2:4" x14ac:dyDescent="0.45">
      <c r="D334" s="44"/>
    </row>
    <row r="335" spans="2:4" x14ac:dyDescent="0.45">
      <c r="D335" s="20"/>
    </row>
    <row r="336" spans="2:4" x14ac:dyDescent="0.45">
      <c r="D336" s="20"/>
    </row>
    <row r="337" spans="4:4" x14ac:dyDescent="0.45">
      <c r="D337" s="20"/>
    </row>
    <row r="338" spans="4:4" x14ac:dyDescent="0.45">
      <c r="D338" s="20"/>
    </row>
  </sheetData>
  <mergeCells count="91">
    <mergeCell ref="A25:G25"/>
    <mergeCell ref="A210:G211"/>
    <mergeCell ref="A160:B160"/>
    <mergeCell ref="A159:B159"/>
    <mergeCell ref="I79:I80"/>
    <mergeCell ref="I82:I83"/>
    <mergeCell ref="E90:E91"/>
    <mergeCell ref="E92:E93"/>
    <mergeCell ref="F90:F91"/>
    <mergeCell ref="F92:F93"/>
    <mergeCell ref="G92:G93"/>
    <mergeCell ref="G90:G91"/>
    <mergeCell ref="H90:H91"/>
    <mergeCell ref="H92:H93"/>
    <mergeCell ref="I90:I91"/>
    <mergeCell ref="I92:I93"/>
    <mergeCell ref="A239:D239"/>
    <mergeCell ref="A233:B233"/>
    <mergeCell ref="A228:B228"/>
    <mergeCell ref="A229:B229"/>
    <mergeCell ref="A230:D230"/>
    <mergeCell ref="A231:B231"/>
    <mergeCell ref="A232:B232"/>
    <mergeCell ref="A236:B236"/>
    <mergeCell ref="A234:B234"/>
    <mergeCell ref="A235:B235"/>
    <mergeCell ref="A131:B131"/>
    <mergeCell ref="A130:D130"/>
    <mergeCell ref="D218:E218"/>
    <mergeCell ref="A191:G192"/>
    <mergeCell ref="A237:B237"/>
    <mergeCell ref="A225:B225"/>
    <mergeCell ref="A226:D226"/>
    <mergeCell ref="A227:B227"/>
    <mergeCell ref="A223:B223"/>
    <mergeCell ref="A134:B134"/>
    <mergeCell ref="A136:B136"/>
    <mergeCell ref="A222:D222"/>
    <mergeCell ref="A224:B224"/>
    <mergeCell ref="A154:B154"/>
    <mergeCell ref="A142:B142"/>
    <mergeCell ref="A219:A220"/>
    <mergeCell ref="F79:F80"/>
    <mergeCell ref="A109:G109"/>
    <mergeCell ref="G79:G80"/>
    <mergeCell ref="D82:D83"/>
    <mergeCell ref="E82:E83"/>
    <mergeCell ref="F82:F83"/>
    <mergeCell ref="G82:G83"/>
    <mergeCell ref="D90:D91"/>
    <mergeCell ref="A86:H87"/>
    <mergeCell ref="H82:H83"/>
    <mergeCell ref="D92:D93"/>
    <mergeCell ref="H79:H80"/>
    <mergeCell ref="A1:G2"/>
    <mergeCell ref="A62:G63"/>
    <mergeCell ref="A140:B140"/>
    <mergeCell ref="D79:D80"/>
    <mergeCell ref="A149:B149"/>
    <mergeCell ref="A132:B132"/>
    <mergeCell ref="A135:B135"/>
    <mergeCell ref="A137:B137"/>
    <mergeCell ref="B117:G117"/>
    <mergeCell ref="B118:G118"/>
    <mergeCell ref="A139:D139"/>
    <mergeCell ref="A144:B144"/>
    <mergeCell ref="E79:E80"/>
    <mergeCell ref="A138:B138"/>
    <mergeCell ref="B121:D121"/>
    <mergeCell ref="A102:H103"/>
    <mergeCell ref="A143:B143"/>
    <mergeCell ref="A148:B148"/>
    <mergeCell ref="A155:B155"/>
    <mergeCell ref="A156:B156"/>
    <mergeCell ref="A147:B147"/>
    <mergeCell ref="A75:H76"/>
    <mergeCell ref="A145:B145"/>
    <mergeCell ref="A146:B146"/>
    <mergeCell ref="A163:D163"/>
    <mergeCell ref="A151:D151"/>
    <mergeCell ref="A157:B157"/>
    <mergeCell ref="A162:B162"/>
    <mergeCell ref="A161:B161"/>
    <mergeCell ref="A150:B150"/>
    <mergeCell ref="A152:B152"/>
    <mergeCell ref="A153:B153"/>
    <mergeCell ref="A158:B158"/>
    <mergeCell ref="A141:B141"/>
    <mergeCell ref="C90:C91"/>
    <mergeCell ref="C92:C93"/>
    <mergeCell ref="A133:B133"/>
  </mergeCells>
  <printOptions horizontalCentered="1"/>
  <pageMargins left="0.51181102362204722" right="0" top="0.78740157480314965" bottom="0.78740157480314965" header="0.31496062992125984" footer="0.31496062992125984"/>
  <pageSetup paperSize="8" scale="50" fitToHeight="0" orientation="landscape" verticalDpi="0" r:id="rId1"/>
  <ignoredErrors>
    <ignoredError sqref="E244:E245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D2E78-5C9F-45CB-AD08-7FF6B55492A9}">
  <dimension ref="A3:H19"/>
  <sheetViews>
    <sheetView workbookViewId="0">
      <selection activeCell="B26" sqref="B26"/>
    </sheetView>
  </sheetViews>
  <sheetFormatPr defaultRowHeight="14.25" x14ac:dyDescent="0.45"/>
  <cols>
    <col min="1" max="1" width="11.46484375" bestFit="1" customWidth="1"/>
    <col min="2" max="2" width="45.796875" bestFit="1" customWidth="1"/>
    <col min="3" max="3" width="14" customWidth="1"/>
    <col min="4" max="4" width="14.86328125" customWidth="1"/>
    <col min="5" max="5" width="20.46484375" bestFit="1" customWidth="1"/>
    <col min="6" max="6" width="20.33203125" bestFit="1" customWidth="1"/>
    <col min="7" max="7" width="22.6640625" bestFit="1" customWidth="1"/>
    <col min="8" max="8" width="22.46484375" bestFit="1" customWidth="1"/>
  </cols>
  <sheetData>
    <row r="3" spans="1:8" x14ac:dyDescent="0.45">
      <c r="A3" s="6" t="s">
        <v>0</v>
      </c>
      <c r="B3" s="5" t="s">
        <v>1</v>
      </c>
      <c r="C3" s="5" t="s">
        <v>139</v>
      </c>
      <c r="D3" s="6" t="s">
        <v>2</v>
      </c>
      <c r="E3" s="1" t="s">
        <v>3</v>
      </c>
      <c r="F3" s="2" t="s">
        <v>4</v>
      </c>
      <c r="G3" s="2" t="s">
        <v>5</v>
      </c>
      <c r="H3" s="1" t="s">
        <v>6</v>
      </c>
    </row>
    <row r="4" spans="1:8" x14ac:dyDescent="0.45">
      <c r="A4" s="7" t="s">
        <v>58</v>
      </c>
      <c r="B4" s="7" t="s">
        <v>59</v>
      </c>
      <c r="C4" s="32"/>
      <c r="D4" s="8">
        <v>120</v>
      </c>
      <c r="E4" s="12">
        <v>112</v>
      </c>
      <c r="F4" s="13">
        <f t="shared" ref="F4:F15" si="0">E4*D4</f>
        <v>13440</v>
      </c>
      <c r="G4" s="12">
        <f>E4*12</f>
        <v>1344</v>
      </c>
      <c r="H4" s="13">
        <f t="shared" ref="H4:H15" si="1">G4*D4</f>
        <v>161280</v>
      </c>
    </row>
    <row r="5" spans="1:8" x14ac:dyDescent="0.45">
      <c r="A5" s="9" t="s">
        <v>60</v>
      </c>
      <c r="B5" s="14" t="s">
        <v>61</v>
      </c>
      <c r="C5" s="33"/>
      <c r="D5" s="15">
        <v>268.75</v>
      </c>
      <c r="E5" s="4">
        <v>10</v>
      </c>
      <c r="F5" s="3">
        <f t="shared" si="0"/>
        <v>2687.5</v>
      </c>
      <c r="G5" s="4">
        <f t="shared" ref="G5:G15" si="2">E5*12</f>
        <v>120</v>
      </c>
      <c r="H5" s="3">
        <f t="shared" si="1"/>
        <v>32250</v>
      </c>
    </row>
    <row r="6" spans="1:8" x14ac:dyDescent="0.45">
      <c r="A6" s="16" t="s">
        <v>33</v>
      </c>
      <c r="B6" s="16" t="s">
        <v>62</v>
      </c>
      <c r="C6" s="34"/>
      <c r="D6" s="17">
        <v>250</v>
      </c>
      <c r="E6" s="16">
        <v>25</v>
      </c>
      <c r="F6" s="17">
        <f t="shared" si="0"/>
        <v>6250</v>
      </c>
      <c r="G6" s="16">
        <f t="shared" si="2"/>
        <v>300</v>
      </c>
      <c r="H6" s="17">
        <f t="shared" si="1"/>
        <v>75000</v>
      </c>
    </row>
    <row r="7" spans="1:8" x14ac:dyDescent="0.45">
      <c r="A7" s="16" t="s">
        <v>33</v>
      </c>
      <c r="B7" s="18" t="s">
        <v>63</v>
      </c>
      <c r="C7" s="35">
        <v>24.2</v>
      </c>
      <c r="D7" s="19">
        <v>149</v>
      </c>
      <c r="E7" s="16">
        <v>5</v>
      </c>
      <c r="F7" s="17">
        <f>E7*D7</f>
        <v>745</v>
      </c>
      <c r="G7" s="16">
        <f t="shared" si="2"/>
        <v>60</v>
      </c>
      <c r="H7" s="17">
        <f t="shared" si="1"/>
        <v>8940</v>
      </c>
    </row>
    <row r="8" spans="1:8" x14ac:dyDescent="0.45">
      <c r="A8" s="16" t="s">
        <v>33</v>
      </c>
      <c r="B8" s="16" t="s">
        <v>64</v>
      </c>
      <c r="C8" s="34">
        <v>39.6</v>
      </c>
      <c r="D8" s="17">
        <v>269</v>
      </c>
      <c r="E8" s="16">
        <v>5</v>
      </c>
      <c r="F8" s="17">
        <f t="shared" si="0"/>
        <v>1345</v>
      </c>
      <c r="G8" s="16">
        <f t="shared" si="2"/>
        <v>60</v>
      </c>
      <c r="H8" s="17">
        <f t="shared" si="1"/>
        <v>16140</v>
      </c>
    </row>
    <row r="9" spans="1:8" x14ac:dyDescent="0.45">
      <c r="A9" s="16" t="s">
        <v>33</v>
      </c>
      <c r="B9" s="18" t="s">
        <v>65</v>
      </c>
      <c r="C9" s="35">
        <v>24.2</v>
      </c>
      <c r="D9" s="19">
        <v>130</v>
      </c>
      <c r="E9" s="16">
        <v>5</v>
      </c>
      <c r="F9" s="17">
        <f t="shared" si="0"/>
        <v>650</v>
      </c>
      <c r="G9" s="16">
        <f t="shared" si="2"/>
        <v>60</v>
      </c>
      <c r="H9" s="17">
        <f t="shared" si="1"/>
        <v>7800</v>
      </c>
    </row>
    <row r="10" spans="1:8" x14ac:dyDescent="0.45">
      <c r="A10" s="16" t="s">
        <v>33</v>
      </c>
      <c r="B10" s="16" t="s">
        <v>66</v>
      </c>
      <c r="C10" s="34">
        <v>24.2</v>
      </c>
      <c r="D10" s="17">
        <v>136</v>
      </c>
      <c r="E10" s="16">
        <v>5</v>
      </c>
      <c r="F10" s="17">
        <f t="shared" si="0"/>
        <v>680</v>
      </c>
      <c r="G10" s="16">
        <f t="shared" si="2"/>
        <v>60</v>
      </c>
      <c r="H10" s="17">
        <f t="shared" si="1"/>
        <v>8160</v>
      </c>
    </row>
    <row r="11" spans="1:8" x14ac:dyDescent="0.45">
      <c r="A11" s="16" t="s">
        <v>33</v>
      </c>
      <c r="B11" s="18" t="s">
        <v>85</v>
      </c>
      <c r="C11" s="35" t="s">
        <v>140</v>
      </c>
      <c r="D11" s="19">
        <v>280</v>
      </c>
      <c r="E11" s="16">
        <v>5</v>
      </c>
      <c r="F11" s="17">
        <f t="shared" si="0"/>
        <v>1400</v>
      </c>
      <c r="G11" s="16">
        <f t="shared" si="2"/>
        <v>60</v>
      </c>
      <c r="H11" s="17">
        <f t="shared" si="1"/>
        <v>16800</v>
      </c>
    </row>
    <row r="12" spans="1:8" x14ac:dyDescent="0.45">
      <c r="A12" s="29" t="s">
        <v>67</v>
      </c>
      <c r="B12" s="16" t="s">
        <v>68</v>
      </c>
      <c r="C12" s="36">
        <v>48.16</v>
      </c>
      <c r="D12" s="25">
        <v>305</v>
      </c>
      <c r="E12" s="16">
        <v>35</v>
      </c>
      <c r="F12" s="17">
        <f t="shared" si="0"/>
        <v>10675</v>
      </c>
      <c r="G12" s="16">
        <f t="shared" si="2"/>
        <v>420</v>
      </c>
      <c r="H12" s="17">
        <f t="shared" si="1"/>
        <v>128100</v>
      </c>
    </row>
    <row r="13" spans="1:8" x14ac:dyDescent="0.45">
      <c r="A13" s="23" t="s">
        <v>67</v>
      </c>
      <c r="B13" s="27" t="s">
        <v>68</v>
      </c>
      <c r="C13" s="37">
        <v>48.16</v>
      </c>
      <c r="D13" s="451">
        <v>334.84</v>
      </c>
      <c r="E13" s="449">
        <v>10</v>
      </c>
      <c r="F13" s="447">
        <v>3348.4</v>
      </c>
      <c r="G13" s="449">
        <f>E13*12</f>
        <v>120</v>
      </c>
      <c r="H13" s="447">
        <v>40180.800000000003</v>
      </c>
    </row>
    <row r="14" spans="1:8" x14ac:dyDescent="0.45">
      <c r="A14" s="24" t="s">
        <v>86</v>
      </c>
      <c r="B14" s="28" t="s">
        <v>132</v>
      </c>
      <c r="C14" s="38">
        <v>29.84</v>
      </c>
      <c r="D14" s="452"/>
      <c r="E14" s="450"/>
      <c r="F14" s="448"/>
      <c r="G14" s="450"/>
      <c r="H14" s="448"/>
    </row>
    <row r="15" spans="1:8" x14ac:dyDescent="0.45">
      <c r="A15" s="26" t="s">
        <v>69</v>
      </c>
      <c r="B15" s="26" t="s">
        <v>70</v>
      </c>
      <c r="C15" s="39">
        <v>112.66</v>
      </c>
      <c r="D15" s="17">
        <v>410</v>
      </c>
      <c r="E15" s="16">
        <v>35</v>
      </c>
      <c r="F15" s="17">
        <f t="shared" si="0"/>
        <v>14350</v>
      </c>
      <c r="G15" s="16">
        <f t="shared" si="2"/>
        <v>420</v>
      </c>
      <c r="H15" s="17">
        <f t="shared" si="1"/>
        <v>172200</v>
      </c>
    </row>
    <row r="16" spans="1:8" x14ac:dyDescent="0.45">
      <c r="A16" s="23" t="s">
        <v>69</v>
      </c>
      <c r="B16" s="31" t="s">
        <v>70</v>
      </c>
      <c r="C16" s="40">
        <v>112.66</v>
      </c>
      <c r="D16" s="447">
        <v>423.63</v>
      </c>
      <c r="E16" s="449">
        <v>10</v>
      </c>
      <c r="F16" s="447">
        <f>E16*D16</f>
        <v>4236.3</v>
      </c>
      <c r="G16" s="449">
        <f>E16*12</f>
        <v>120</v>
      </c>
      <c r="H16" s="447">
        <f>G16*D16</f>
        <v>50835.6</v>
      </c>
    </row>
    <row r="17" spans="1:8" x14ac:dyDescent="0.45">
      <c r="A17" s="24" t="s">
        <v>87</v>
      </c>
      <c r="B17" s="28" t="s">
        <v>133</v>
      </c>
      <c r="C17" s="38">
        <v>13.66</v>
      </c>
      <c r="D17" s="448"/>
      <c r="E17" s="450"/>
      <c r="F17" s="448"/>
      <c r="G17" s="450"/>
      <c r="H17" s="448"/>
    </row>
    <row r="18" spans="1:8" x14ac:dyDescent="0.45">
      <c r="A18" s="24" t="s">
        <v>136</v>
      </c>
      <c r="B18" s="28" t="s">
        <v>137</v>
      </c>
      <c r="C18" s="38">
        <v>84</v>
      </c>
      <c r="D18" s="21">
        <v>500</v>
      </c>
      <c r="E18" s="22">
        <v>10</v>
      </c>
      <c r="F18" s="21">
        <v>5000</v>
      </c>
      <c r="G18" s="22">
        <v>120</v>
      </c>
      <c r="H18" s="21">
        <v>60835.6</v>
      </c>
    </row>
    <row r="19" spans="1:8" x14ac:dyDescent="0.45">
      <c r="A19" s="30"/>
      <c r="B19" s="30" t="s">
        <v>23</v>
      </c>
      <c r="C19" s="41"/>
      <c r="D19" s="11">
        <f>SUM(D4:D17)</f>
        <v>3076.2200000000003</v>
      </c>
      <c r="E19" s="10">
        <f>SUM(E4:E17)</f>
        <v>262</v>
      </c>
      <c r="F19" s="11">
        <f>SUM(F4:F17)</f>
        <v>59807.200000000004</v>
      </c>
      <c r="G19" s="10">
        <f>SUM(G4:G17)</f>
        <v>3144</v>
      </c>
      <c r="H19" s="11">
        <f>SUM(H4:H17)</f>
        <v>717686.4</v>
      </c>
    </row>
  </sheetData>
  <mergeCells count="10">
    <mergeCell ref="D13:D14"/>
    <mergeCell ref="E13:E14"/>
    <mergeCell ref="F13:F14"/>
    <mergeCell ref="G13:G14"/>
    <mergeCell ref="H13:H14"/>
    <mergeCell ref="D16:D17"/>
    <mergeCell ref="E16:E17"/>
    <mergeCell ref="F16:F17"/>
    <mergeCell ref="G16:G17"/>
    <mergeCell ref="H16:H17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FB7E-FF19-472C-B4B7-C47C694D37A4}">
  <dimension ref="A1:G43"/>
  <sheetViews>
    <sheetView workbookViewId="0">
      <pane ySplit="7" topLeftCell="A8" activePane="bottomLeft" state="frozen"/>
      <selection pane="bottomLeft"/>
    </sheetView>
  </sheetViews>
  <sheetFormatPr defaultRowHeight="14.25" x14ac:dyDescent="0.45"/>
  <cols>
    <col min="1" max="1" width="22.796875" customWidth="1"/>
    <col min="2" max="2" width="14.19921875" customWidth="1"/>
    <col min="3" max="3" width="24.86328125" customWidth="1"/>
    <col min="4" max="4" width="26.6640625" customWidth="1"/>
    <col min="5" max="5" width="21.33203125" customWidth="1"/>
    <col min="6" max="6" width="19.53125" customWidth="1"/>
    <col min="7" max="7" width="20.46484375" customWidth="1"/>
  </cols>
  <sheetData>
    <row r="1" spans="1:7" ht="17.25" x14ac:dyDescent="0.55000000000000004">
      <c r="A1" s="454" t="s">
        <v>271</v>
      </c>
    </row>
    <row r="2" spans="1:7" x14ac:dyDescent="0.45">
      <c r="A2" s="455" t="s">
        <v>272</v>
      </c>
    </row>
    <row r="3" spans="1:7" x14ac:dyDescent="0.45">
      <c r="A3" s="455" t="s">
        <v>273</v>
      </c>
    </row>
    <row r="5" spans="1:7" x14ac:dyDescent="0.45">
      <c r="A5" s="237" t="s">
        <v>274</v>
      </c>
    </row>
    <row r="6" spans="1:7" x14ac:dyDescent="0.45">
      <c r="A6" s="455" t="s">
        <v>275</v>
      </c>
    </row>
    <row r="7" spans="1:7" ht="32" customHeight="1" x14ac:dyDescent="0.45">
      <c r="A7" s="461" t="s">
        <v>276</v>
      </c>
      <c r="B7" s="461" t="s">
        <v>277</v>
      </c>
      <c r="C7" s="461" t="s">
        <v>278</v>
      </c>
      <c r="D7" s="461" t="s">
        <v>279</v>
      </c>
      <c r="E7" s="461" t="s">
        <v>280</v>
      </c>
      <c r="F7" s="461" t="s">
        <v>281</v>
      </c>
      <c r="G7" s="461" t="s">
        <v>282</v>
      </c>
    </row>
    <row r="8" spans="1:7" x14ac:dyDescent="0.45">
      <c r="A8" s="453" t="s">
        <v>283</v>
      </c>
      <c r="B8" s="458">
        <v>67</v>
      </c>
      <c r="C8" s="459">
        <v>75354.37</v>
      </c>
      <c r="D8" s="459">
        <f>C8/B8</f>
        <v>1124.6920895522387</v>
      </c>
      <c r="E8" s="460" t="str">
        <f>""</f>
        <v/>
      </c>
      <c r="F8" s="460">
        <f>C8/$C$20</f>
        <v>7.1384311526828212E-2</v>
      </c>
      <c r="G8" s="460">
        <f>B8/$B$20</f>
        <v>9.1780821917808217E-2</v>
      </c>
    </row>
    <row r="9" spans="1:7" x14ac:dyDescent="0.45">
      <c r="A9" s="453" t="s">
        <v>284</v>
      </c>
      <c r="B9" s="458">
        <v>62</v>
      </c>
      <c r="C9" s="459">
        <v>72622.960000000006</v>
      </c>
      <c r="D9" s="459">
        <f>C9/B9</f>
        <v>1171.3380645161292</v>
      </c>
      <c r="E9" s="460">
        <f>D9/D8-1</f>
        <v>4.1474440335453222E-2</v>
      </c>
      <c r="F9" s="460">
        <f>C9/$C$20</f>
        <v>6.8796806351647352E-2</v>
      </c>
      <c r="G9" s="460">
        <f>B9/$B$20</f>
        <v>8.4931506849315067E-2</v>
      </c>
    </row>
    <row r="10" spans="1:7" x14ac:dyDescent="0.45">
      <c r="A10" s="453" t="s">
        <v>285</v>
      </c>
      <c r="B10" s="458">
        <v>68</v>
      </c>
      <c r="C10" s="459">
        <v>105160.2</v>
      </c>
      <c r="D10" s="459">
        <f>C10/B10</f>
        <v>1546.4735294117647</v>
      </c>
      <c r="E10" s="460">
        <f>D10/D9-1</f>
        <v>0.32026233609218635</v>
      </c>
      <c r="F10" s="460">
        <f>C10/$C$20</f>
        <v>9.9619816037524581E-2</v>
      </c>
      <c r="G10" s="460">
        <f>B10/$B$20</f>
        <v>9.3150684931506855E-2</v>
      </c>
    </row>
    <row r="11" spans="1:7" x14ac:dyDescent="0.45">
      <c r="A11" s="453" t="s">
        <v>294</v>
      </c>
      <c r="B11" s="458">
        <v>60</v>
      </c>
      <c r="C11" s="459">
        <v>53232.86</v>
      </c>
      <c r="D11" s="459">
        <f>C11/B11</f>
        <v>887.21433333333334</v>
      </c>
      <c r="E11" s="460">
        <f>D11/D10-1</f>
        <v>-0.42629840313477274</v>
      </c>
      <c r="F11" s="460">
        <f>C11/$C$20</f>
        <v>5.0428277241307079E-2</v>
      </c>
      <c r="G11" s="460">
        <f>B11/$B$20</f>
        <v>8.2191780821917804E-2</v>
      </c>
    </row>
    <row r="12" spans="1:7" x14ac:dyDescent="0.45">
      <c r="A12" s="453" t="s">
        <v>286</v>
      </c>
      <c r="B12" s="458">
        <v>47</v>
      </c>
      <c r="C12" s="459">
        <v>106968</v>
      </c>
      <c r="D12" s="459">
        <f>C12/B12</f>
        <v>2275.9148936170213</v>
      </c>
      <c r="E12" s="460">
        <f>D12/D11-1</f>
        <v>1.5652368408727479</v>
      </c>
      <c r="F12" s="460">
        <f>C12/$C$20</f>
        <v>0.10133237177089743</v>
      </c>
      <c r="G12" s="460">
        <f>B12/$B$20</f>
        <v>6.4383561643835616E-2</v>
      </c>
    </row>
    <row r="13" spans="1:7" x14ac:dyDescent="0.45">
      <c r="A13" s="453" t="s">
        <v>295</v>
      </c>
      <c r="B13" s="458">
        <v>59</v>
      </c>
      <c r="C13" s="459">
        <v>79172.039999999994</v>
      </c>
      <c r="D13" s="459">
        <f>C13/B13</f>
        <v>1341.8989830508474</v>
      </c>
      <c r="E13" s="460">
        <f>D13/D12-1</f>
        <v>-0.41039140487445003</v>
      </c>
      <c r="F13" s="460">
        <f>C13/$C$20</f>
        <v>7.5000846899449955E-2</v>
      </c>
      <c r="G13" s="460">
        <f>B13/$B$20</f>
        <v>8.0821917808219179E-2</v>
      </c>
    </row>
    <row r="14" spans="1:7" x14ac:dyDescent="0.45">
      <c r="A14" s="453" t="s">
        <v>287</v>
      </c>
      <c r="B14" s="458">
        <v>57</v>
      </c>
      <c r="C14" s="459">
        <v>94020.81</v>
      </c>
      <c r="D14" s="459">
        <f>C14/B14</f>
        <v>1649.487894736842</v>
      </c>
      <c r="E14" s="460">
        <f>D14/D13-1</f>
        <v>0.22921912570995628</v>
      </c>
      <c r="F14" s="460">
        <f>C14/$C$20</f>
        <v>8.9067306793816012E-2</v>
      </c>
      <c r="G14" s="460">
        <f>B14/$B$20</f>
        <v>7.8082191780821916E-2</v>
      </c>
    </row>
    <row r="15" spans="1:7" x14ac:dyDescent="0.45">
      <c r="A15" s="453" t="s">
        <v>296</v>
      </c>
      <c r="B15" s="458">
        <v>69</v>
      </c>
      <c r="C15" s="459">
        <v>91408.8</v>
      </c>
      <c r="D15" s="459">
        <f>C15/B15</f>
        <v>1324.7652173913043</v>
      </c>
      <c r="E15" s="460">
        <f>D15/D14-1</f>
        <v>-0.19686272229196544</v>
      </c>
      <c r="F15" s="460">
        <f>C15/$C$20</f>
        <v>8.6592911008260512E-2</v>
      </c>
      <c r="G15" s="460">
        <f>B15/$B$20</f>
        <v>9.452054794520548E-2</v>
      </c>
    </row>
    <row r="16" spans="1:7" x14ac:dyDescent="0.45">
      <c r="A16" s="453" t="s">
        <v>288</v>
      </c>
      <c r="B16" s="458">
        <v>52</v>
      </c>
      <c r="C16" s="459">
        <v>81513.119999999995</v>
      </c>
      <c r="D16" s="459">
        <f>C16/B16</f>
        <v>1567.56</v>
      </c>
      <c r="E16" s="460">
        <f>D16/D15-1</f>
        <v>0.18327382046367524</v>
      </c>
      <c r="F16" s="460">
        <f>C16/$C$20</f>
        <v>7.7218586680556575E-2</v>
      </c>
      <c r="G16" s="460">
        <f>B16/$B$20</f>
        <v>7.1232876712328766E-2</v>
      </c>
    </row>
    <row r="17" spans="1:7" x14ac:dyDescent="0.45">
      <c r="A17" s="453" t="s">
        <v>289</v>
      </c>
      <c r="B17" s="458">
        <v>61</v>
      </c>
      <c r="C17" s="459">
        <v>125585.13</v>
      </c>
      <c r="D17" s="459">
        <f>C17/B17</f>
        <v>2058.7726229508198</v>
      </c>
      <c r="E17" s="460">
        <f>D17/D16-1</f>
        <v>0.31336128948864461</v>
      </c>
      <c r="F17" s="460">
        <f>C17/$C$20</f>
        <v>0.11896865494406257</v>
      </c>
      <c r="G17" s="460">
        <f>B17/$B$20</f>
        <v>8.3561643835616442E-2</v>
      </c>
    </row>
    <row r="18" spans="1:7" x14ac:dyDescent="0.45">
      <c r="A18" s="453" t="s">
        <v>297</v>
      </c>
      <c r="B18" s="458">
        <v>60</v>
      </c>
      <c r="C18" s="459">
        <v>61747.45</v>
      </c>
      <c r="D18" s="459">
        <f>C18/B18</f>
        <v>1029.1241666666667</v>
      </c>
      <c r="E18" s="460">
        <f>D18/D17-1</f>
        <v>-0.50012733062690895</v>
      </c>
      <c r="F18" s="460">
        <f>C18/$C$20</f>
        <v>5.8494274542899752E-2</v>
      </c>
      <c r="G18" s="460">
        <f>B18/$B$20</f>
        <v>8.2191780821917804E-2</v>
      </c>
    </row>
    <row r="19" spans="1:7" x14ac:dyDescent="0.45">
      <c r="A19" s="453" t="s">
        <v>298</v>
      </c>
      <c r="B19" s="458">
        <v>68</v>
      </c>
      <c r="C19" s="459">
        <v>108829.54</v>
      </c>
      <c r="D19" s="459">
        <f>C19/B19</f>
        <v>1600.4344117647058</v>
      </c>
      <c r="E19" s="460">
        <f>D19/D18-1</f>
        <v>0.5551421913922332</v>
      </c>
      <c r="F19" s="460">
        <f>C19/$C$20</f>
        <v>0.10309583620274992</v>
      </c>
      <c r="G19" s="460">
        <f>B19/$B$20</f>
        <v>9.3150684931506855E-2</v>
      </c>
    </row>
    <row r="20" spans="1:7" x14ac:dyDescent="0.45">
      <c r="A20" s="465" t="s">
        <v>290</v>
      </c>
      <c r="B20" s="462">
        <f>SUM(B8:B19)</f>
        <v>730</v>
      </c>
      <c r="C20" s="463">
        <f>SUM(C8:C19)</f>
        <v>1055615.28</v>
      </c>
      <c r="D20" s="463">
        <f>C20/B20</f>
        <v>1446.0483287671234</v>
      </c>
      <c r="E20" s="464" t="str">
        <f>""</f>
        <v/>
      </c>
      <c r="F20" s="464">
        <f>SUM(F8:F19)</f>
        <v>1</v>
      </c>
      <c r="G20" s="464">
        <f>SUM(G8:G19)</f>
        <v>1</v>
      </c>
    </row>
    <row r="21" spans="1:7" x14ac:dyDescent="0.45">
      <c r="A21" s="237" t="s">
        <v>291</v>
      </c>
      <c r="B21" s="457">
        <f>B20/COUNT(B8:B19)</f>
        <v>60.833333333333336</v>
      </c>
    </row>
    <row r="22" spans="1:7" x14ac:dyDescent="0.45">
      <c r="A22" s="237" t="s">
        <v>292</v>
      </c>
      <c r="D22" s="456">
        <f>D20</f>
        <v>1446.0483287671234</v>
      </c>
    </row>
    <row r="23" spans="1:7" x14ac:dyDescent="0.45">
      <c r="A23" s="455" t="s">
        <v>293</v>
      </c>
    </row>
    <row r="25" spans="1:7" x14ac:dyDescent="0.45">
      <c r="A25" s="237" t="s">
        <v>320</v>
      </c>
    </row>
    <row r="26" spans="1:7" x14ac:dyDescent="0.45">
      <c r="A26" s="455" t="s">
        <v>321</v>
      </c>
    </row>
    <row r="27" spans="1:7" ht="32" customHeight="1" x14ac:dyDescent="0.45">
      <c r="A27" s="461" t="s">
        <v>276</v>
      </c>
      <c r="B27" s="461" t="s">
        <v>277</v>
      </c>
      <c r="C27" s="461" t="s">
        <v>278</v>
      </c>
      <c r="D27" s="461" t="s">
        <v>279</v>
      </c>
      <c r="E27" s="461" t="s">
        <v>280</v>
      </c>
      <c r="F27" s="461" t="s">
        <v>281</v>
      </c>
      <c r="G27" s="461" t="s">
        <v>282</v>
      </c>
    </row>
    <row r="28" spans="1:7" x14ac:dyDescent="0.45">
      <c r="A28" s="453" t="s">
        <v>283</v>
      </c>
      <c r="B28" s="458">
        <v>21</v>
      </c>
      <c r="C28" s="459">
        <v>10711.64</v>
      </c>
      <c r="D28" s="459">
        <f>C28/B28</f>
        <v>510.07809523809522</v>
      </c>
      <c r="E28" s="460" t="str">
        <f>""</f>
        <v/>
      </c>
      <c r="F28" s="460">
        <f>C28/$C$40</f>
        <v>6.7484258288929261E-2</v>
      </c>
      <c r="G28" s="460">
        <f>B28/$B$40</f>
        <v>6.8627450980392163E-2</v>
      </c>
    </row>
    <row r="29" spans="1:7" x14ac:dyDescent="0.45">
      <c r="A29" s="453" t="s">
        <v>284</v>
      </c>
      <c r="B29" s="458">
        <v>30</v>
      </c>
      <c r="C29" s="459">
        <v>15390.82</v>
      </c>
      <c r="D29" s="459">
        <f>C29/B29</f>
        <v>513.02733333333333</v>
      </c>
      <c r="E29" s="460">
        <f>D29/D28-1</f>
        <v>5.7819344190059851E-3</v>
      </c>
      <c r="F29" s="460">
        <f>C29/$C$40</f>
        <v>9.6963496920958722E-2</v>
      </c>
      <c r="G29" s="460">
        <f>B29/$B$40</f>
        <v>9.8039215686274508E-2</v>
      </c>
    </row>
    <row r="30" spans="1:7" x14ac:dyDescent="0.45">
      <c r="A30" s="453" t="s">
        <v>285</v>
      </c>
      <c r="B30" s="458">
        <v>25</v>
      </c>
      <c r="C30" s="459">
        <v>12858.86</v>
      </c>
      <c r="D30" s="459">
        <f>C30/B30</f>
        <v>514.35440000000006</v>
      </c>
      <c r="E30" s="460">
        <f>D30/D29-1</f>
        <v>2.586736769061071E-3</v>
      </c>
      <c r="F30" s="460">
        <f>C30/$C$40</f>
        <v>8.1011929969750762E-2</v>
      </c>
      <c r="G30" s="460">
        <f>B30/$B$40</f>
        <v>8.1699346405228759E-2</v>
      </c>
    </row>
    <row r="31" spans="1:7" x14ac:dyDescent="0.45">
      <c r="A31" s="453" t="s">
        <v>294</v>
      </c>
      <c r="B31" s="458">
        <v>35</v>
      </c>
      <c r="C31" s="459">
        <v>18336.36</v>
      </c>
      <c r="D31" s="459">
        <f>C31/B31</f>
        <v>523.89600000000007</v>
      </c>
      <c r="E31" s="460">
        <f>D31/D30-1</f>
        <v>1.8550633570938668E-2</v>
      </c>
      <c r="F31" s="460">
        <f>C31/$C$40</f>
        <v>0.1155206536364918</v>
      </c>
      <c r="G31" s="460">
        <f>B31/$B$40</f>
        <v>0.11437908496732026</v>
      </c>
    </row>
    <row r="32" spans="1:7" x14ac:dyDescent="0.45">
      <c r="A32" s="453" t="s">
        <v>286</v>
      </c>
      <c r="B32" s="458">
        <v>22</v>
      </c>
      <c r="C32" s="459">
        <v>11155.1</v>
      </c>
      <c r="D32" s="459">
        <f>C32/B32</f>
        <v>507.05</v>
      </c>
      <c r="E32" s="460">
        <f>D32/D31-1</f>
        <v>-3.2155236917250862E-2</v>
      </c>
      <c r="F32" s="460">
        <f>C32/$C$40</f>
        <v>7.0278094637126989E-2</v>
      </c>
      <c r="G32" s="460">
        <f>B32/$B$40</f>
        <v>7.1895424836601302E-2</v>
      </c>
    </row>
    <row r="33" spans="1:7" x14ac:dyDescent="0.45">
      <c r="A33" s="453" t="s">
        <v>295</v>
      </c>
      <c r="B33" s="458">
        <v>30</v>
      </c>
      <c r="C33" s="459">
        <v>15721.62</v>
      </c>
      <c r="D33" s="459">
        <f>C33/B33</f>
        <v>524.05399999999997</v>
      </c>
      <c r="E33" s="460">
        <f>D33/D32-1</f>
        <v>3.353515432403098E-2</v>
      </c>
      <c r="F33" s="460">
        <f>C33/$C$40</f>
        <v>9.9047565526884415E-2</v>
      </c>
      <c r="G33" s="460">
        <f>B33/$B$40</f>
        <v>9.8039215686274508E-2</v>
      </c>
    </row>
    <row r="34" spans="1:7" x14ac:dyDescent="0.45">
      <c r="A34" s="453" t="s">
        <v>287</v>
      </c>
      <c r="B34" s="458">
        <v>19</v>
      </c>
      <c r="C34" s="459">
        <v>9799.36</v>
      </c>
      <c r="D34" s="459">
        <f>C34/B34</f>
        <v>515.75578947368422</v>
      </c>
      <c r="E34" s="460">
        <f>D34/D33-1</f>
        <v>-1.5834647815522351E-2</v>
      </c>
      <c r="F34" s="460">
        <f>C34/$C$40</f>
        <v>6.1736815399528175E-2</v>
      </c>
      <c r="G34" s="460">
        <f>B34/$B$40</f>
        <v>6.2091503267973858E-2</v>
      </c>
    </row>
    <row r="35" spans="1:7" x14ac:dyDescent="0.45">
      <c r="A35" s="453" t="s">
        <v>296</v>
      </c>
      <c r="B35" s="458">
        <v>26</v>
      </c>
      <c r="C35" s="459">
        <v>13277.68</v>
      </c>
      <c r="D35" s="459">
        <f>C35/B35</f>
        <v>510.68</v>
      </c>
      <c r="E35" s="460">
        <f>D35/D34-1</f>
        <v>-9.8414590340594188E-3</v>
      </c>
      <c r="F35" s="460">
        <f>C35/$C$40</f>
        <v>8.3650532187204793E-2</v>
      </c>
      <c r="G35" s="460">
        <f>B35/$B$40</f>
        <v>8.4967320261437912E-2</v>
      </c>
    </row>
    <row r="36" spans="1:7" x14ac:dyDescent="0.45">
      <c r="A36" s="453" t="s">
        <v>288</v>
      </c>
      <c r="B36" s="458">
        <v>22</v>
      </c>
      <c r="C36" s="459">
        <v>11398.76</v>
      </c>
      <c r="D36" s="459">
        <f>C36/B36</f>
        <v>518.12545454545455</v>
      </c>
      <c r="E36" s="460">
        <f>D36/D35-1</f>
        <v>1.4579491159737001E-2</v>
      </c>
      <c r="F36" s="460">
        <f>C36/$C$40</f>
        <v>7.1813173707622302E-2</v>
      </c>
      <c r="G36" s="460">
        <f>B36/$B$40</f>
        <v>7.1895424836601302E-2</v>
      </c>
    </row>
    <row r="37" spans="1:7" x14ac:dyDescent="0.45">
      <c r="A37" s="453" t="s">
        <v>289</v>
      </c>
      <c r="B37" s="458">
        <v>23</v>
      </c>
      <c r="C37" s="459">
        <v>11908.02</v>
      </c>
      <c r="D37" s="459">
        <f>C37/B37</f>
        <v>517.74</v>
      </c>
      <c r="E37" s="460">
        <f>D37/D36-1</f>
        <v>-7.4394056897419958E-4</v>
      </c>
      <c r="F37" s="460">
        <f>C37/$C$40</f>
        <v>7.5021555745874172E-2</v>
      </c>
      <c r="G37" s="460">
        <f>B37/$B$40</f>
        <v>7.5163398692810454E-2</v>
      </c>
    </row>
    <row r="38" spans="1:7" x14ac:dyDescent="0.45">
      <c r="A38" s="453" t="s">
        <v>297</v>
      </c>
      <c r="B38" s="458">
        <v>21</v>
      </c>
      <c r="C38" s="459">
        <v>10834.16</v>
      </c>
      <c r="D38" s="459">
        <f>C38/B38</f>
        <v>515.912380952381</v>
      </c>
      <c r="E38" s="460">
        <f>D38/D37-1</f>
        <v>-3.5299939112662937E-3</v>
      </c>
      <c r="F38" s="460">
        <f>C38/$C$40</f>
        <v>6.8256144883844669E-2</v>
      </c>
      <c r="G38" s="460">
        <f>B38/$B$40</f>
        <v>6.8627450980392163E-2</v>
      </c>
    </row>
    <row r="39" spans="1:7" x14ac:dyDescent="0.45">
      <c r="A39" s="453" t="s">
        <v>298</v>
      </c>
      <c r="B39" s="458">
        <v>32</v>
      </c>
      <c r="C39" s="459">
        <v>17335.599999999999</v>
      </c>
      <c r="D39" s="459">
        <f>C39/B39</f>
        <v>541.73749999999995</v>
      </c>
      <c r="E39" s="460">
        <f>D39/D38-1</f>
        <v>5.0057180252091271E-2</v>
      </c>
      <c r="F39" s="460">
        <f>C39/$C$40</f>
        <v>0.10921577909578385</v>
      </c>
      <c r="G39" s="460">
        <f>B39/$B$40</f>
        <v>0.10457516339869281</v>
      </c>
    </row>
    <row r="40" spans="1:7" x14ac:dyDescent="0.45">
      <c r="A40" s="465" t="s">
        <v>290</v>
      </c>
      <c r="B40" s="462">
        <f>SUM(B28:B39)</f>
        <v>306</v>
      </c>
      <c r="C40" s="463">
        <f>SUM(C28:C39)</f>
        <v>158727.98000000001</v>
      </c>
      <c r="D40" s="463">
        <f>C40/B40</f>
        <v>518.71888888888896</v>
      </c>
      <c r="E40" s="464" t="str">
        <f>""</f>
        <v/>
      </c>
      <c r="F40" s="464">
        <f>SUM(F28:F39)</f>
        <v>0.99999999999999989</v>
      </c>
      <c r="G40" s="464">
        <f>SUM(G28:G39)</f>
        <v>0.99999999999999989</v>
      </c>
    </row>
    <row r="41" spans="1:7" x14ac:dyDescent="0.45">
      <c r="A41" s="237" t="s">
        <v>291</v>
      </c>
      <c r="B41" s="457">
        <f>B40/COUNT(B28:B39)</f>
        <v>25.5</v>
      </c>
    </row>
    <row r="42" spans="1:7" x14ac:dyDescent="0.45">
      <c r="A42" s="237" t="s">
        <v>292</v>
      </c>
      <c r="D42" s="456">
        <f>D40</f>
        <v>518.71888888888896</v>
      </c>
    </row>
    <row r="43" spans="1:7" x14ac:dyDescent="0.45">
      <c r="A43" s="455" t="s">
        <v>293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541FE-493F-45ED-B72A-9663F3BA3758}">
  <dimension ref="A1:K3"/>
  <sheetViews>
    <sheetView workbookViewId="0"/>
  </sheetViews>
  <sheetFormatPr defaultRowHeight="14.25" x14ac:dyDescent="0.45"/>
  <cols>
    <col min="1" max="1" width="25.46484375" bestFit="1" customWidth="1"/>
    <col min="2" max="2" width="49.59765625" bestFit="1" customWidth="1"/>
    <col min="3" max="3" width="70.19921875" bestFit="1" customWidth="1"/>
    <col min="4" max="4" width="33.9296875" bestFit="1" customWidth="1"/>
    <col min="5" max="5" width="140.46484375" bestFit="1" customWidth="1"/>
    <col min="6" max="6" width="53.06640625" bestFit="1" customWidth="1"/>
    <col min="7" max="7" width="51.6640625" bestFit="1" customWidth="1"/>
    <col min="8" max="8" width="11.53125" bestFit="1" customWidth="1"/>
    <col min="10" max="10" width="104.86328125" bestFit="1" customWidth="1"/>
    <col min="11" max="11" width="103" bestFit="1" customWidth="1"/>
  </cols>
  <sheetData>
    <row r="1" spans="1:11" x14ac:dyDescent="0.45">
      <c r="A1" s="237" t="s">
        <v>299</v>
      </c>
      <c r="B1" s="237" t="s">
        <v>300</v>
      </c>
      <c r="C1" s="237" t="s">
        <v>301</v>
      </c>
      <c r="D1" s="237" t="s">
        <v>302</v>
      </c>
      <c r="E1" s="237" t="s">
        <v>303</v>
      </c>
      <c r="F1" s="237" t="s">
        <v>304</v>
      </c>
      <c r="G1" s="237" t="s">
        <v>305</v>
      </c>
      <c r="H1" s="237" t="s">
        <v>306</v>
      </c>
      <c r="I1" s="237" t="s">
        <v>307</v>
      </c>
      <c r="J1" s="237" t="s">
        <v>308</v>
      </c>
      <c r="K1" s="237" t="s">
        <v>309</v>
      </c>
    </row>
    <row r="2" spans="1:11" x14ac:dyDescent="0.45">
      <c r="A2" t="s">
        <v>310</v>
      </c>
      <c r="B2" t="s">
        <v>311</v>
      </c>
      <c r="C2" t="s">
        <v>312</v>
      </c>
      <c r="D2" t="s">
        <v>313</v>
      </c>
      <c r="E2" t="s">
        <v>314</v>
      </c>
      <c r="F2" t="s">
        <v>315</v>
      </c>
      <c r="G2" t="s">
        <v>316</v>
      </c>
      <c r="H2" t="s">
        <v>317</v>
      </c>
      <c r="I2">
        <v>12</v>
      </c>
      <c r="J2" t="s">
        <v>318</v>
      </c>
      <c r="K2" t="s">
        <v>319</v>
      </c>
    </row>
    <row r="3" spans="1:11" x14ac:dyDescent="0.45">
      <c r="A3" t="s">
        <v>322</v>
      </c>
      <c r="B3" t="s">
        <v>311</v>
      </c>
      <c r="C3" t="s">
        <v>323</v>
      </c>
      <c r="D3" t="s">
        <v>313</v>
      </c>
      <c r="E3" t="s">
        <v>324</v>
      </c>
      <c r="F3" t="s">
        <v>315</v>
      </c>
      <c r="G3" t="s">
        <v>325</v>
      </c>
      <c r="H3" t="s">
        <v>317</v>
      </c>
      <c r="I3">
        <v>12</v>
      </c>
      <c r="J3" t="s">
        <v>326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MAC Hospitalar</vt:lpstr>
      <vt:lpstr>AMB Hospitalar</vt:lpstr>
      <vt:lpstr>FAEC</vt:lpstr>
      <vt:lpstr>INCENTIVOS</vt:lpstr>
      <vt:lpstr>Planilha1</vt:lpstr>
      <vt:lpstr>Planilha2</vt:lpstr>
      <vt:lpstr>Controle.Mensal.AIHs</vt:lpstr>
      <vt:lpstr>Data 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Severo</dc:creator>
  <cp:lastModifiedBy>Henry R. Ritta</cp:lastModifiedBy>
  <cp:lastPrinted>2026-03-11T14:02:14Z</cp:lastPrinted>
  <dcterms:created xsi:type="dcterms:W3CDTF">2025-12-10T13:44:57Z</dcterms:created>
  <dcterms:modified xsi:type="dcterms:W3CDTF">2026-09-17T18:45:26Z</dcterms:modified>
</cp:coreProperties>
</file>